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msp\Documents\GitHub\DinoTame\Maps\"/>
    </mc:Choice>
  </mc:AlternateContent>
  <xr:revisionPtr revIDLastSave="0" documentId="13_ncr:1_{3343AA82-42EE-4EBF-83B9-5D09F19DAF8E}" xr6:coauthVersionLast="47" xr6:coauthVersionMax="47" xr10:uidLastSave="{00000000-0000-0000-0000-000000000000}"/>
  <bookViews>
    <workbookView xWindow="-120" yWindow="-120" windowWidth="51840" windowHeight="21120" activeTab="1" xr2:uid="{ECAE3B7B-9E56-4F15-A7A4-A9060C529654}"/>
  </bookViews>
  <sheets>
    <sheet name="wikily_maps" sheetId="4" r:id="rId1"/>
    <sheet name="Tabelle2" sheetId="2" r:id="rId2"/>
    <sheet name="Tabelle1" sheetId="5" r:id="rId3"/>
  </sheets>
  <definedNames>
    <definedName name="_xlnm._FilterDatabase" localSheetId="2" hidden="1">Tabelle1!$A$11:$V$11</definedName>
    <definedName name="_xlnm._FilterDatabase" localSheetId="1" hidden="1">Tabelle2!$A$2:$AC$254</definedName>
    <definedName name="ExterneDaten_1" localSheetId="0" hidden="1">wikily_maps!$A$1:$O$332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3" i="5" l="1"/>
  <c r="B13" i="5"/>
  <c r="C13" i="5"/>
  <c r="D13" i="5"/>
  <c r="A14" i="5"/>
  <c r="B14" i="5"/>
  <c r="C14" i="5"/>
  <c r="D14" i="5"/>
  <c r="A15" i="5"/>
  <c r="B15" i="5"/>
  <c r="C15" i="5"/>
  <c r="D15" i="5"/>
  <c r="A16" i="5"/>
  <c r="B16" i="5"/>
  <c r="C16" i="5"/>
  <c r="D16" i="5"/>
  <c r="A17" i="5"/>
  <c r="B17" i="5"/>
  <c r="C17" i="5"/>
  <c r="D17" i="5"/>
  <c r="A18" i="5"/>
  <c r="B18" i="5"/>
  <c r="C18" i="5"/>
  <c r="D18" i="5"/>
  <c r="A19" i="5"/>
  <c r="B19" i="5"/>
  <c r="C19" i="5"/>
  <c r="D19" i="5"/>
  <c r="A20" i="5"/>
  <c r="B20" i="5"/>
  <c r="C20" i="5"/>
  <c r="D20" i="5"/>
  <c r="A21" i="5"/>
  <c r="B21" i="5"/>
  <c r="C21" i="5"/>
  <c r="D21" i="5"/>
  <c r="A22" i="5"/>
  <c r="B22" i="5"/>
  <c r="C22" i="5"/>
  <c r="D22" i="5"/>
  <c r="A23" i="5"/>
  <c r="B23" i="5"/>
  <c r="C23" i="5"/>
  <c r="D23" i="5"/>
  <c r="A24" i="5"/>
  <c r="B24" i="5"/>
  <c r="C24" i="5"/>
  <c r="D24" i="5"/>
  <c r="A25" i="5"/>
  <c r="B25" i="5"/>
  <c r="C25" i="5"/>
  <c r="D25" i="5"/>
  <c r="A26" i="5"/>
  <c r="B26" i="5"/>
  <c r="C26" i="5"/>
  <c r="D26" i="5"/>
  <c r="A27" i="5"/>
  <c r="B27" i="5"/>
  <c r="C27" i="5"/>
  <c r="D27" i="5"/>
  <c r="A28" i="5"/>
  <c r="B28" i="5"/>
  <c r="C28" i="5"/>
  <c r="D28" i="5"/>
  <c r="A29" i="5"/>
  <c r="B29" i="5"/>
  <c r="C29" i="5"/>
  <c r="D29" i="5"/>
  <c r="A30" i="5"/>
  <c r="B30" i="5"/>
  <c r="C30" i="5"/>
  <c r="D30" i="5"/>
  <c r="A31" i="5"/>
  <c r="B31" i="5"/>
  <c r="C31" i="5"/>
  <c r="D31" i="5"/>
  <c r="A32" i="5"/>
  <c r="B32" i="5"/>
  <c r="C32" i="5"/>
  <c r="D32" i="5"/>
  <c r="A33" i="5"/>
  <c r="B33" i="5"/>
  <c r="C33" i="5"/>
  <c r="D33" i="5"/>
  <c r="A34" i="5"/>
  <c r="B34" i="5"/>
  <c r="C34" i="5"/>
  <c r="D34" i="5"/>
  <c r="A35" i="5"/>
  <c r="B35" i="5"/>
  <c r="C35" i="5"/>
  <c r="D35" i="5"/>
  <c r="A36" i="5"/>
  <c r="B36" i="5"/>
  <c r="C36" i="5"/>
  <c r="D36" i="5"/>
  <c r="A37" i="5"/>
  <c r="B37" i="5"/>
  <c r="C37" i="5"/>
  <c r="D37" i="5"/>
  <c r="A38" i="5"/>
  <c r="B38" i="5"/>
  <c r="C38" i="5"/>
  <c r="D38" i="5"/>
  <c r="A39" i="5"/>
  <c r="B39" i="5"/>
  <c r="C39" i="5"/>
  <c r="D39" i="5"/>
  <c r="A40" i="5"/>
  <c r="B40" i="5"/>
  <c r="C40" i="5"/>
  <c r="D40" i="5"/>
  <c r="A41" i="5"/>
  <c r="B41" i="5"/>
  <c r="C41" i="5"/>
  <c r="D41" i="5"/>
  <c r="A42" i="5"/>
  <c r="B42" i="5"/>
  <c r="C42" i="5"/>
  <c r="D42" i="5"/>
  <c r="A43" i="5"/>
  <c r="B43" i="5"/>
  <c r="C43" i="5"/>
  <c r="D43" i="5"/>
  <c r="A44" i="5"/>
  <c r="B44" i="5"/>
  <c r="C44" i="5"/>
  <c r="D44" i="5"/>
  <c r="A45" i="5"/>
  <c r="B45" i="5"/>
  <c r="C45" i="5"/>
  <c r="D45" i="5"/>
  <c r="A46" i="5"/>
  <c r="B46" i="5"/>
  <c r="C46" i="5"/>
  <c r="D46" i="5"/>
  <c r="A47" i="5"/>
  <c r="B47" i="5"/>
  <c r="C47" i="5"/>
  <c r="D47" i="5"/>
  <c r="A48" i="5"/>
  <c r="B48" i="5"/>
  <c r="C48" i="5"/>
  <c r="D48" i="5"/>
  <c r="A49" i="5"/>
  <c r="B49" i="5"/>
  <c r="C49" i="5"/>
  <c r="D49" i="5"/>
  <c r="A50" i="5"/>
  <c r="B50" i="5"/>
  <c r="C50" i="5"/>
  <c r="D50" i="5"/>
  <c r="A51" i="5"/>
  <c r="B51" i="5"/>
  <c r="C51" i="5"/>
  <c r="D51" i="5"/>
  <c r="A52" i="5"/>
  <c r="B52" i="5"/>
  <c r="C52" i="5"/>
  <c r="D52" i="5"/>
  <c r="A53" i="5"/>
  <c r="B53" i="5"/>
  <c r="C53" i="5"/>
  <c r="D53" i="5"/>
  <c r="A54" i="5"/>
  <c r="B54" i="5"/>
  <c r="C54" i="5"/>
  <c r="D54" i="5"/>
  <c r="A55" i="5"/>
  <c r="B55" i="5"/>
  <c r="C55" i="5"/>
  <c r="D55" i="5"/>
  <c r="A56" i="5"/>
  <c r="B56" i="5"/>
  <c r="N56" i="5" s="1"/>
  <c r="C56" i="5"/>
  <c r="I56" i="5" s="1"/>
  <c r="D56" i="5"/>
  <c r="A57" i="5"/>
  <c r="B57" i="5"/>
  <c r="T57" i="5" s="1"/>
  <c r="C57" i="5"/>
  <c r="O57" i="5" s="1"/>
  <c r="D57" i="5"/>
  <c r="A58" i="5"/>
  <c r="B58" i="5"/>
  <c r="C58" i="5"/>
  <c r="D58" i="5"/>
  <c r="A59" i="5"/>
  <c r="B59" i="5"/>
  <c r="C59" i="5"/>
  <c r="D59" i="5"/>
  <c r="A60" i="5"/>
  <c r="B60" i="5"/>
  <c r="C60" i="5"/>
  <c r="D60" i="5"/>
  <c r="A61" i="5"/>
  <c r="B61" i="5"/>
  <c r="C61" i="5"/>
  <c r="D61" i="5"/>
  <c r="A62" i="5"/>
  <c r="B62" i="5"/>
  <c r="C62" i="5"/>
  <c r="D62" i="5"/>
  <c r="A63" i="5"/>
  <c r="B63" i="5"/>
  <c r="C63" i="5"/>
  <c r="D63" i="5"/>
  <c r="A64" i="5"/>
  <c r="B64" i="5"/>
  <c r="C64" i="5"/>
  <c r="D64" i="5"/>
  <c r="A65" i="5"/>
  <c r="B65" i="5"/>
  <c r="C65" i="5"/>
  <c r="D65" i="5"/>
  <c r="A66" i="5"/>
  <c r="B66" i="5"/>
  <c r="C66" i="5"/>
  <c r="D66" i="5"/>
  <c r="A67" i="5"/>
  <c r="B67" i="5"/>
  <c r="C67" i="5"/>
  <c r="D67" i="5"/>
  <c r="A68" i="5"/>
  <c r="B68" i="5"/>
  <c r="C68" i="5"/>
  <c r="D68" i="5"/>
  <c r="A69" i="5"/>
  <c r="B69" i="5"/>
  <c r="T69" i="5" s="1"/>
  <c r="C69" i="5"/>
  <c r="O69" i="5" s="1"/>
  <c r="D69" i="5"/>
  <c r="A70" i="5"/>
  <c r="B70" i="5"/>
  <c r="C70" i="5"/>
  <c r="U70" i="5" s="1"/>
  <c r="D70" i="5"/>
  <c r="A71" i="5"/>
  <c r="B71" i="5"/>
  <c r="H71" i="5" s="1"/>
  <c r="C71" i="5"/>
  <c r="D71" i="5"/>
  <c r="A72" i="5"/>
  <c r="B72" i="5"/>
  <c r="N72" i="5" s="1"/>
  <c r="C72" i="5"/>
  <c r="D72" i="5"/>
  <c r="A73" i="5"/>
  <c r="B73" i="5"/>
  <c r="C73" i="5"/>
  <c r="D73" i="5"/>
  <c r="A74" i="5"/>
  <c r="B74" i="5"/>
  <c r="C74" i="5"/>
  <c r="D74" i="5"/>
  <c r="A75" i="5"/>
  <c r="B75" i="5"/>
  <c r="C75" i="5"/>
  <c r="D75" i="5"/>
  <c r="A76" i="5"/>
  <c r="B76" i="5"/>
  <c r="C76" i="5"/>
  <c r="D76" i="5"/>
  <c r="A77" i="5"/>
  <c r="B77" i="5"/>
  <c r="C77" i="5"/>
  <c r="D77" i="5"/>
  <c r="A78" i="5"/>
  <c r="B78" i="5"/>
  <c r="C78" i="5"/>
  <c r="D78" i="5"/>
  <c r="A79" i="5"/>
  <c r="B79" i="5"/>
  <c r="C79" i="5"/>
  <c r="D79" i="5"/>
  <c r="A80" i="5"/>
  <c r="B80" i="5"/>
  <c r="C80" i="5"/>
  <c r="D80" i="5"/>
  <c r="A81" i="5"/>
  <c r="B81" i="5"/>
  <c r="C81" i="5"/>
  <c r="D81" i="5"/>
  <c r="A82" i="5"/>
  <c r="B82" i="5"/>
  <c r="C82" i="5"/>
  <c r="D82" i="5"/>
  <c r="A83" i="5"/>
  <c r="B83" i="5"/>
  <c r="C83" i="5"/>
  <c r="D83" i="5"/>
  <c r="A84" i="5"/>
  <c r="B84" i="5"/>
  <c r="C84" i="5"/>
  <c r="R84" i="5" s="1"/>
  <c r="D84" i="5"/>
  <c r="A85" i="5"/>
  <c r="B85" i="5"/>
  <c r="C85" i="5"/>
  <c r="D85" i="5"/>
  <c r="A86" i="5"/>
  <c r="B86" i="5"/>
  <c r="C86" i="5"/>
  <c r="D86" i="5"/>
  <c r="A87" i="5"/>
  <c r="B87" i="5"/>
  <c r="C87" i="5"/>
  <c r="D87" i="5"/>
  <c r="A88" i="5"/>
  <c r="B88" i="5"/>
  <c r="C88" i="5"/>
  <c r="D88" i="5"/>
  <c r="A89" i="5"/>
  <c r="B89" i="5"/>
  <c r="C89" i="5"/>
  <c r="D89" i="5"/>
  <c r="A90" i="5"/>
  <c r="B90" i="5"/>
  <c r="C90" i="5"/>
  <c r="D90" i="5"/>
  <c r="A91" i="5"/>
  <c r="B91" i="5"/>
  <c r="C91" i="5"/>
  <c r="D91" i="5"/>
  <c r="A92" i="5"/>
  <c r="B92" i="5"/>
  <c r="C92" i="5"/>
  <c r="D92" i="5"/>
  <c r="A93" i="5"/>
  <c r="B93" i="5"/>
  <c r="C93" i="5"/>
  <c r="D93" i="5"/>
  <c r="A94" i="5"/>
  <c r="B94" i="5"/>
  <c r="C94" i="5"/>
  <c r="D94" i="5"/>
  <c r="A95" i="5"/>
  <c r="B95" i="5"/>
  <c r="C95" i="5"/>
  <c r="D95" i="5"/>
  <c r="A96" i="5"/>
  <c r="B96" i="5"/>
  <c r="C96" i="5"/>
  <c r="D96" i="5"/>
  <c r="A97" i="5"/>
  <c r="B97" i="5"/>
  <c r="C97" i="5"/>
  <c r="D97" i="5"/>
  <c r="A98" i="5"/>
  <c r="B98" i="5"/>
  <c r="C98" i="5"/>
  <c r="D98" i="5"/>
  <c r="A99" i="5"/>
  <c r="B99" i="5"/>
  <c r="C99" i="5"/>
  <c r="D99" i="5"/>
  <c r="A100" i="5"/>
  <c r="B100" i="5"/>
  <c r="C100" i="5"/>
  <c r="D100" i="5"/>
  <c r="A101" i="5"/>
  <c r="B101" i="5"/>
  <c r="C101" i="5"/>
  <c r="D101" i="5"/>
  <c r="A102" i="5"/>
  <c r="B102" i="5"/>
  <c r="C102" i="5"/>
  <c r="D102" i="5"/>
  <c r="A103" i="5"/>
  <c r="B103" i="5"/>
  <c r="C103" i="5"/>
  <c r="D103" i="5"/>
  <c r="A104" i="5"/>
  <c r="B104" i="5"/>
  <c r="N104" i="5" s="1"/>
  <c r="C104" i="5"/>
  <c r="I104" i="5" s="1"/>
  <c r="D104" i="5"/>
  <c r="A105" i="5"/>
  <c r="B105" i="5"/>
  <c r="C105" i="5"/>
  <c r="D105" i="5"/>
  <c r="A106" i="5"/>
  <c r="B106" i="5"/>
  <c r="C106" i="5"/>
  <c r="D106" i="5"/>
  <c r="A107" i="5"/>
  <c r="B107" i="5"/>
  <c r="T107" i="5" s="1"/>
  <c r="C107" i="5"/>
  <c r="D107" i="5"/>
  <c r="A108" i="5"/>
  <c r="B108" i="5"/>
  <c r="C108" i="5"/>
  <c r="D108" i="5"/>
  <c r="A109" i="5"/>
  <c r="B109" i="5"/>
  <c r="C109" i="5"/>
  <c r="D109" i="5"/>
  <c r="G109" i="5" s="1"/>
  <c r="A110" i="5"/>
  <c r="B110" i="5"/>
  <c r="C110" i="5"/>
  <c r="D110" i="5"/>
  <c r="A111" i="5"/>
  <c r="B111" i="5"/>
  <c r="C111" i="5"/>
  <c r="D111" i="5"/>
  <c r="A112" i="5"/>
  <c r="B112" i="5"/>
  <c r="C112" i="5"/>
  <c r="D112" i="5"/>
  <c r="A113" i="5"/>
  <c r="B113" i="5"/>
  <c r="C113" i="5"/>
  <c r="D113" i="5"/>
  <c r="A114" i="5"/>
  <c r="B114" i="5"/>
  <c r="C114" i="5"/>
  <c r="D114" i="5"/>
  <c r="A115" i="5"/>
  <c r="B115" i="5"/>
  <c r="C115" i="5"/>
  <c r="D115" i="5"/>
  <c r="A116" i="5"/>
  <c r="B116" i="5"/>
  <c r="Q116" i="5" s="1"/>
  <c r="C116" i="5"/>
  <c r="R116" i="5" s="1"/>
  <c r="D116" i="5"/>
  <c r="A117" i="5"/>
  <c r="B117" i="5"/>
  <c r="H117" i="5" s="1"/>
  <c r="C117" i="5"/>
  <c r="L117" i="5" s="1"/>
  <c r="D117" i="5"/>
  <c r="G117" i="5" s="1"/>
  <c r="A118" i="5"/>
  <c r="B118" i="5"/>
  <c r="C118" i="5"/>
  <c r="D118" i="5"/>
  <c r="A119" i="5"/>
  <c r="B119" i="5"/>
  <c r="C119" i="5"/>
  <c r="D119" i="5"/>
  <c r="A120" i="5"/>
  <c r="B120" i="5"/>
  <c r="C120" i="5"/>
  <c r="D120" i="5"/>
  <c r="A121" i="5"/>
  <c r="B121" i="5"/>
  <c r="C121" i="5"/>
  <c r="D121" i="5"/>
  <c r="S121" i="5" s="1"/>
  <c r="A122" i="5"/>
  <c r="B122" i="5"/>
  <c r="E122" i="5" s="1"/>
  <c r="C122" i="5"/>
  <c r="F122" i="5" s="1"/>
  <c r="D122" i="5"/>
  <c r="A123" i="5"/>
  <c r="B123" i="5"/>
  <c r="Q123" i="5" s="1"/>
  <c r="C123" i="5"/>
  <c r="D123" i="5"/>
  <c r="S123" i="5" s="1"/>
  <c r="A124" i="5"/>
  <c r="B124" i="5"/>
  <c r="C124" i="5"/>
  <c r="D124" i="5"/>
  <c r="A125" i="5"/>
  <c r="B125" i="5"/>
  <c r="C125" i="5"/>
  <c r="D125" i="5"/>
  <c r="A126" i="5"/>
  <c r="B126" i="5"/>
  <c r="C126" i="5"/>
  <c r="D126" i="5"/>
  <c r="A127" i="5"/>
  <c r="B127" i="5"/>
  <c r="C127" i="5"/>
  <c r="D127" i="5"/>
  <c r="P127" i="5" s="1"/>
  <c r="A128" i="5"/>
  <c r="B128" i="5"/>
  <c r="N128" i="5" s="1"/>
  <c r="C128" i="5"/>
  <c r="O128" i="5" s="1"/>
  <c r="D128" i="5"/>
  <c r="P128" i="5" s="1"/>
  <c r="A129" i="5"/>
  <c r="B129" i="5"/>
  <c r="E129" i="5" s="1"/>
  <c r="C129" i="5"/>
  <c r="U129" i="5" s="1"/>
  <c r="D129" i="5"/>
  <c r="V129" i="5" s="1"/>
  <c r="A130" i="5"/>
  <c r="B130" i="5"/>
  <c r="E130" i="5" s="1"/>
  <c r="C130" i="5"/>
  <c r="F130" i="5" s="1"/>
  <c r="D130" i="5"/>
  <c r="G130" i="5" s="1"/>
  <c r="A131" i="5"/>
  <c r="B131" i="5"/>
  <c r="C131" i="5"/>
  <c r="D131" i="5"/>
  <c r="A132" i="5"/>
  <c r="B132" i="5"/>
  <c r="C132" i="5"/>
  <c r="D132" i="5"/>
  <c r="A133" i="5"/>
  <c r="B133" i="5"/>
  <c r="C133" i="5"/>
  <c r="D133" i="5"/>
  <c r="J133" i="5" s="1"/>
  <c r="A134" i="5"/>
  <c r="B134" i="5"/>
  <c r="H134" i="5" s="1"/>
  <c r="C134" i="5"/>
  <c r="I134" i="5" s="1"/>
  <c r="D134" i="5"/>
  <c r="J134" i="5" s="1"/>
  <c r="A135" i="5"/>
  <c r="B135" i="5"/>
  <c r="H135" i="5" s="1"/>
  <c r="C135" i="5"/>
  <c r="I135" i="5" s="1"/>
  <c r="D135" i="5"/>
  <c r="J135" i="5" s="1"/>
  <c r="A136" i="5"/>
  <c r="B136" i="5"/>
  <c r="N136" i="5" s="1"/>
  <c r="C136" i="5"/>
  <c r="O136" i="5" s="1"/>
  <c r="D136" i="5"/>
  <c r="P136" i="5" s="1"/>
  <c r="A137" i="5"/>
  <c r="B137" i="5"/>
  <c r="C137" i="5"/>
  <c r="D137" i="5"/>
  <c r="A138" i="5"/>
  <c r="B138" i="5"/>
  <c r="C138" i="5"/>
  <c r="D138" i="5"/>
  <c r="A139" i="5"/>
  <c r="B139" i="5"/>
  <c r="C139" i="5"/>
  <c r="D139" i="5"/>
  <c r="P139" i="5" s="1"/>
  <c r="A140" i="5"/>
  <c r="B140" i="5"/>
  <c r="N140" i="5" s="1"/>
  <c r="C140" i="5"/>
  <c r="O140" i="5" s="1"/>
  <c r="D140" i="5"/>
  <c r="P140" i="5" s="1"/>
  <c r="A141" i="5"/>
  <c r="B141" i="5"/>
  <c r="E141" i="5" s="1"/>
  <c r="C141" i="5"/>
  <c r="U141" i="5" s="1"/>
  <c r="D141" i="5"/>
  <c r="J141" i="5" s="1"/>
  <c r="A142" i="5"/>
  <c r="B142" i="5"/>
  <c r="E142" i="5" s="1"/>
  <c r="C142" i="5"/>
  <c r="F142" i="5" s="1"/>
  <c r="D142" i="5"/>
  <c r="G142" i="5" s="1"/>
  <c r="A143" i="5"/>
  <c r="B143" i="5"/>
  <c r="T143" i="5" s="1"/>
  <c r="C143" i="5"/>
  <c r="O143" i="5" s="1"/>
  <c r="D143" i="5"/>
  <c r="S143" i="5" s="1"/>
  <c r="A144" i="5"/>
  <c r="B144" i="5"/>
  <c r="E144" i="5" s="1"/>
  <c r="C144" i="5"/>
  <c r="F144" i="5" s="1"/>
  <c r="D144" i="5"/>
  <c r="G144" i="5" s="1"/>
  <c r="A145" i="5"/>
  <c r="B145" i="5"/>
  <c r="C145" i="5"/>
  <c r="D145" i="5"/>
  <c r="J145" i="5" s="1"/>
  <c r="A146" i="5"/>
  <c r="B146" i="5"/>
  <c r="K146" i="5" s="1"/>
  <c r="C146" i="5"/>
  <c r="U146" i="5" s="1"/>
  <c r="D146" i="5"/>
  <c r="P146" i="5" s="1"/>
  <c r="A147" i="5"/>
  <c r="B147" i="5"/>
  <c r="T147" i="5" s="1"/>
  <c r="C147" i="5"/>
  <c r="F147" i="5" s="1"/>
  <c r="D147" i="5"/>
  <c r="S147" i="5" s="1"/>
  <c r="A148" i="5"/>
  <c r="B148" i="5"/>
  <c r="E148" i="5" s="1"/>
  <c r="C148" i="5"/>
  <c r="F148" i="5" s="1"/>
  <c r="D148" i="5"/>
  <c r="G148" i="5" s="1"/>
  <c r="A149" i="5"/>
  <c r="B149" i="5"/>
  <c r="N149" i="5" s="1"/>
  <c r="C149" i="5"/>
  <c r="O149" i="5" s="1"/>
  <c r="D149" i="5"/>
  <c r="P149" i="5" s="1"/>
  <c r="A150" i="5"/>
  <c r="B150" i="5"/>
  <c r="C150" i="5"/>
  <c r="D150" i="5"/>
  <c r="A151" i="5"/>
  <c r="B151" i="5"/>
  <c r="T151" i="5" s="1"/>
  <c r="C151" i="5"/>
  <c r="D151" i="5"/>
  <c r="S151" i="5" s="1"/>
  <c r="A152" i="5"/>
  <c r="B152" i="5"/>
  <c r="E152" i="5" s="1"/>
  <c r="C152" i="5"/>
  <c r="F152" i="5" s="1"/>
  <c r="D152" i="5"/>
  <c r="G152" i="5" s="1"/>
  <c r="A153" i="5"/>
  <c r="B153" i="5"/>
  <c r="E153" i="5" s="1"/>
  <c r="C153" i="5"/>
  <c r="O153" i="5" s="1"/>
  <c r="D153" i="5"/>
  <c r="J153" i="5" s="1"/>
  <c r="A154" i="5"/>
  <c r="B154" i="5"/>
  <c r="T154" i="5" s="1"/>
  <c r="C154" i="5"/>
  <c r="U154" i="5" s="1"/>
  <c r="D154" i="5"/>
  <c r="V154" i="5" s="1"/>
  <c r="A155" i="5"/>
  <c r="B155" i="5"/>
  <c r="T155" i="5" s="1"/>
  <c r="C155" i="5"/>
  <c r="F155" i="5" s="1"/>
  <c r="D155" i="5"/>
  <c r="S155" i="5" s="1"/>
  <c r="A156" i="5"/>
  <c r="B156" i="5"/>
  <c r="E156" i="5" s="1"/>
  <c r="C156" i="5"/>
  <c r="F156" i="5" s="1"/>
  <c r="D156" i="5"/>
  <c r="G156" i="5" s="1"/>
  <c r="A157" i="5"/>
  <c r="B157" i="5"/>
  <c r="C157" i="5"/>
  <c r="D157" i="5"/>
  <c r="S157" i="5" s="1"/>
  <c r="A158" i="5"/>
  <c r="B158" i="5"/>
  <c r="E158" i="5" s="1"/>
  <c r="C158" i="5"/>
  <c r="F158" i="5" s="1"/>
  <c r="D158" i="5"/>
  <c r="G158" i="5" s="1"/>
  <c r="A159" i="5"/>
  <c r="B159" i="5"/>
  <c r="T159" i="5" s="1"/>
  <c r="C159" i="5"/>
  <c r="F159" i="5" s="1"/>
  <c r="D159" i="5"/>
  <c r="S159" i="5" s="1"/>
  <c r="A160" i="5"/>
  <c r="B160" i="5"/>
  <c r="E160" i="5" s="1"/>
  <c r="C160" i="5"/>
  <c r="F160" i="5" s="1"/>
  <c r="D160" i="5"/>
  <c r="G160" i="5" s="1"/>
  <c r="A161" i="5"/>
  <c r="B161" i="5"/>
  <c r="E161" i="5" s="1"/>
  <c r="C161" i="5"/>
  <c r="D161" i="5"/>
  <c r="A162" i="5"/>
  <c r="B162" i="5"/>
  <c r="N162" i="5" s="1"/>
  <c r="C162" i="5"/>
  <c r="U162" i="5" s="1"/>
  <c r="D162" i="5"/>
  <c r="V162" i="5" s="1"/>
  <c r="A163" i="5"/>
  <c r="B163" i="5"/>
  <c r="H163" i="5" s="1"/>
  <c r="C163" i="5"/>
  <c r="R163" i="5" s="1"/>
  <c r="D163" i="5"/>
  <c r="S163" i="5" s="1"/>
  <c r="A164" i="5"/>
  <c r="B164" i="5"/>
  <c r="Q164" i="5" s="1"/>
  <c r="C164" i="5"/>
  <c r="R164" i="5" s="1"/>
  <c r="D164" i="5"/>
  <c r="G164" i="5" s="1"/>
  <c r="A165" i="5"/>
  <c r="B165" i="5"/>
  <c r="E165" i="5" s="1"/>
  <c r="C165" i="5"/>
  <c r="F165" i="5" s="1"/>
  <c r="D165" i="5"/>
  <c r="J165" i="5" s="1"/>
  <c r="A166" i="5"/>
  <c r="B166" i="5"/>
  <c r="H166" i="5" s="1"/>
  <c r="C166" i="5"/>
  <c r="L166" i="5" s="1"/>
  <c r="D166" i="5"/>
  <c r="M166" i="5" s="1"/>
  <c r="A167" i="5"/>
  <c r="B167" i="5"/>
  <c r="Q167" i="5" s="1"/>
  <c r="C167" i="5"/>
  <c r="R167" i="5" s="1"/>
  <c r="D167" i="5"/>
  <c r="S167" i="5" s="1"/>
  <c r="A168" i="5"/>
  <c r="B168" i="5"/>
  <c r="E168" i="5" s="1"/>
  <c r="C168" i="5"/>
  <c r="F168" i="5" s="1"/>
  <c r="D168" i="5"/>
  <c r="G168" i="5" s="1"/>
  <c r="A169" i="5"/>
  <c r="B169" i="5"/>
  <c r="E169" i="5" s="1"/>
  <c r="C169" i="5"/>
  <c r="F169" i="5" s="1"/>
  <c r="D169" i="5"/>
  <c r="G169" i="5" s="1"/>
  <c r="A170" i="5"/>
  <c r="B170" i="5"/>
  <c r="Q170" i="5" s="1"/>
  <c r="C170" i="5"/>
  <c r="L170" i="5" s="1"/>
  <c r="D170" i="5"/>
  <c r="M170" i="5" s="1"/>
  <c r="A171" i="5"/>
  <c r="B171" i="5"/>
  <c r="E171" i="5" s="1"/>
  <c r="C171" i="5"/>
  <c r="R171" i="5" s="1"/>
  <c r="D171" i="5"/>
  <c r="S171" i="5" s="1"/>
  <c r="A172" i="5"/>
  <c r="B172" i="5"/>
  <c r="E172" i="5" s="1"/>
  <c r="C172" i="5"/>
  <c r="F172" i="5" s="1"/>
  <c r="D172" i="5"/>
  <c r="G172" i="5" s="1"/>
  <c r="A173" i="5"/>
  <c r="B173" i="5"/>
  <c r="N173" i="5" s="1"/>
  <c r="C173" i="5"/>
  <c r="F173" i="5" s="1"/>
  <c r="D173" i="5"/>
  <c r="G173" i="5" s="1"/>
  <c r="A174" i="5"/>
  <c r="B174" i="5"/>
  <c r="E174" i="5" s="1"/>
  <c r="C174" i="5"/>
  <c r="L174" i="5" s="1"/>
  <c r="D174" i="5"/>
  <c r="M174" i="5" s="1"/>
  <c r="A175" i="5"/>
  <c r="B175" i="5"/>
  <c r="E175" i="5" s="1"/>
  <c r="C175" i="5"/>
  <c r="R175" i="5" s="1"/>
  <c r="D175" i="5"/>
  <c r="S175" i="5" s="1"/>
  <c r="A176" i="5"/>
  <c r="B176" i="5"/>
  <c r="K176" i="5" s="1"/>
  <c r="C176" i="5"/>
  <c r="L176" i="5" s="1"/>
  <c r="D176" i="5"/>
  <c r="M176" i="5" s="1"/>
  <c r="A177" i="5"/>
  <c r="B177" i="5"/>
  <c r="T177" i="5" s="1"/>
  <c r="C177" i="5"/>
  <c r="F177" i="5" s="1"/>
  <c r="D177" i="5"/>
  <c r="G177" i="5" s="1"/>
  <c r="A178" i="5"/>
  <c r="B178" i="5"/>
  <c r="E178" i="5" s="1"/>
  <c r="C178" i="5"/>
  <c r="L178" i="5" s="1"/>
  <c r="D178" i="5"/>
  <c r="M178" i="5" s="1"/>
  <c r="A179" i="5"/>
  <c r="B179" i="5"/>
  <c r="K179" i="5" s="1"/>
  <c r="C179" i="5"/>
  <c r="R179" i="5" s="1"/>
  <c r="D179" i="5"/>
  <c r="S179" i="5" s="1"/>
  <c r="A180" i="5"/>
  <c r="B180" i="5"/>
  <c r="Q180" i="5" s="1"/>
  <c r="C180" i="5"/>
  <c r="R180" i="5" s="1"/>
  <c r="D180" i="5"/>
  <c r="S180" i="5" s="1"/>
  <c r="A181" i="5"/>
  <c r="B181" i="5"/>
  <c r="E181" i="5" s="1"/>
  <c r="C181" i="5"/>
  <c r="F181" i="5" s="1"/>
  <c r="D181" i="5"/>
  <c r="G181" i="5" s="1"/>
  <c r="A182" i="5"/>
  <c r="B182" i="5"/>
  <c r="H182" i="5" s="1"/>
  <c r="C182" i="5"/>
  <c r="L182" i="5" s="1"/>
  <c r="D182" i="5"/>
  <c r="M182" i="5" s="1"/>
  <c r="A183" i="5"/>
  <c r="B183" i="5"/>
  <c r="Q183" i="5" s="1"/>
  <c r="C183" i="5"/>
  <c r="R183" i="5" s="1"/>
  <c r="D183" i="5"/>
  <c r="S183" i="5" s="1"/>
  <c r="A184" i="5"/>
  <c r="B184" i="5"/>
  <c r="E184" i="5" s="1"/>
  <c r="C184" i="5"/>
  <c r="F184" i="5" s="1"/>
  <c r="D184" i="5"/>
  <c r="G184" i="5" s="1"/>
  <c r="A185" i="5"/>
  <c r="B185" i="5"/>
  <c r="E185" i="5" s="1"/>
  <c r="C185" i="5"/>
  <c r="F185" i="5" s="1"/>
  <c r="D185" i="5"/>
  <c r="G185" i="5" s="1"/>
  <c r="A186" i="5"/>
  <c r="B186" i="5"/>
  <c r="Q186" i="5" s="1"/>
  <c r="C186" i="5"/>
  <c r="L186" i="5" s="1"/>
  <c r="D186" i="5"/>
  <c r="M186" i="5" s="1"/>
  <c r="A187" i="5"/>
  <c r="B187" i="5"/>
  <c r="E187" i="5" s="1"/>
  <c r="C187" i="5"/>
  <c r="R187" i="5" s="1"/>
  <c r="D187" i="5"/>
  <c r="S187" i="5" s="1"/>
  <c r="A188" i="5"/>
  <c r="B188" i="5"/>
  <c r="E188" i="5" s="1"/>
  <c r="C188" i="5"/>
  <c r="F188" i="5" s="1"/>
  <c r="D188" i="5"/>
  <c r="G188" i="5" s="1"/>
  <c r="A189" i="5"/>
  <c r="B189" i="5"/>
  <c r="N189" i="5" s="1"/>
  <c r="C189" i="5"/>
  <c r="F189" i="5" s="1"/>
  <c r="D189" i="5"/>
  <c r="G189" i="5" s="1"/>
  <c r="A190" i="5"/>
  <c r="B190" i="5"/>
  <c r="E190" i="5" s="1"/>
  <c r="C190" i="5"/>
  <c r="L190" i="5" s="1"/>
  <c r="D190" i="5"/>
  <c r="M190" i="5" s="1"/>
  <c r="A191" i="5"/>
  <c r="B191" i="5"/>
  <c r="E191" i="5" s="1"/>
  <c r="C191" i="5"/>
  <c r="R191" i="5" s="1"/>
  <c r="D191" i="5"/>
  <c r="S191" i="5" s="1"/>
  <c r="A192" i="5"/>
  <c r="B192" i="5"/>
  <c r="K192" i="5" s="1"/>
  <c r="C192" i="5"/>
  <c r="L192" i="5" s="1"/>
  <c r="D192" i="5"/>
  <c r="M192" i="5" s="1"/>
  <c r="A193" i="5"/>
  <c r="B193" i="5"/>
  <c r="T193" i="5" s="1"/>
  <c r="C193" i="5"/>
  <c r="F193" i="5" s="1"/>
  <c r="D193" i="5"/>
  <c r="G193" i="5" s="1"/>
  <c r="A194" i="5"/>
  <c r="B194" i="5"/>
  <c r="E194" i="5" s="1"/>
  <c r="C194" i="5"/>
  <c r="L194" i="5" s="1"/>
  <c r="D194" i="5"/>
  <c r="M194" i="5" s="1"/>
  <c r="A195" i="5"/>
  <c r="B195" i="5"/>
  <c r="K195" i="5" s="1"/>
  <c r="C195" i="5"/>
  <c r="R195" i="5" s="1"/>
  <c r="D195" i="5"/>
  <c r="S195" i="5" s="1"/>
  <c r="A196" i="5"/>
  <c r="B196" i="5"/>
  <c r="Q196" i="5" s="1"/>
  <c r="C196" i="5"/>
  <c r="R196" i="5" s="1"/>
  <c r="D196" i="5"/>
  <c r="S196" i="5" s="1"/>
  <c r="A197" i="5"/>
  <c r="B197" i="5"/>
  <c r="E197" i="5" s="1"/>
  <c r="C197" i="5"/>
  <c r="F197" i="5" s="1"/>
  <c r="D197" i="5"/>
  <c r="G197" i="5" s="1"/>
  <c r="A198" i="5"/>
  <c r="B198" i="5"/>
  <c r="H198" i="5" s="1"/>
  <c r="C198" i="5"/>
  <c r="L198" i="5" s="1"/>
  <c r="D198" i="5"/>
  <c r="M198" i="5" s="1"/>
  <c r="A199" i="5"/>
  <c r="B199" i="5"/>
  <c r="Q199" i="5" s="1"/>
  <c r="C199" i="5"/>
  <c r="R199" i="5" s="1"/>
  <c r="D199" i="5"/>
  <c r="S199" i="5" s="1"/>
  <c r="A200" i="5"/>
  <c r="B200" i="5"/>
  <c r="E200" i="5" s="1"/>
  <c r="C200" i="5"/>
  <c r="F200" i="5" s="1"/>
  <c r="D200" i="5"/>
  <c r="G200" i="5" s="1"/>
  <c r="A201" i="5"/>
  <c r="B201" i="5"/>
  <c r="E201" i="5" s="1"/>
  <c r="C201" i="5"/>
  <c r="F201" i="5" s="1"/>
  <c r="D201" i="5"/>
  <c r="G201" i="5" s="1"/>
  <c r="A202" i="5"/>
  <c r="B202" i="5"/>
  <c r="Q202" i="5" s="1"/>
  <c r="C202" i="5"/>
  <c r="L202" i="5" s="1"/>
  <c r="D202" i="5"/>
  <c r="M202" i="5" s="1"/>
  <c r="A203" i="5"/>
  <c r="B203" i="5"/>
  <c r="E203" i="5" s="1"/>
  <c r="C203" i="5"/>
  <c r="R203" i="5" s="1"/>
  <c r="D203" i="5"/>
  <c r="S203" i="5" s="1"/>
  <c r="A204" i="5"/>
  <c r="B204" i="5"/>
  <c r="E204" i="5" s="1"/>
  <c r="C204" i="5"/>
  <c r="F204" i="5" s="1"/>
  <c r="D204" i="5"/>
  <c r="G204" i="5" s="1"/>
  <c r="A205" i="5"/>
  <c r="B205" i="5"/>
  <c r="N205" i="5" s="1"/>
  <c r="C205" i="5"/>
  <c r="F205" i="5" s="1"/>
  <c r="D205" i="5"/>
  <c r="G205" i="5" s="1"/>
  <c r="A206" i="5"/>
  <c r="B206" i="5"/>
  <c r="E206" i="5" s="1"/>
  <c r="C206" i="5"/>
  <c r="L206" i="5" s="1"/>
  <c r="D206" i="5"/>
  <c r="M206" i="5" s="1"/>
  <c r="A207" i="5"/>
  <c r="B207" i="5"/>
  <c r="E207" i="5" s="1"/>
  <c r="C207" i="5"/>
  <c r="R207" i="5" s="1"/>
  <c r="D207" i="5"/>
  <c r="S207" i="5" s="1"/>
  <c r="A208" i="5"/>
  <c r="B208" i="5"/>
  <c r="K208" i="5" s="1"/>
  <c r="C208" i="5"/>
  <c r="L208" i="5" s="1"/>
  <c r="D208" i="5"/>
  <c r="M208" i="5" s="1"/>
  <c r="A209" i="5"/>
  <c r="B209" i="5"/>
  <c r="T209" i="5" s="1"/>
  <c r="C209" i="5"/>
  <c r="F209" i="5" s="1"/>
  <c r="D209" i="5"/>
  <c r="G209" i="5" s="1"/>
  <c r="A210" i="5"/>
  <c r="B210" i="5"/>
  <c r="E210" i="5" s="1"/>
  <c r="C210" i="5"/>
  <c r="L210" i="5" s="1"/>
  <c r="D210" i="5"/>
  <c r="M210" i="5" s="1"/>
  <c r="A211" i="5"/>
  <c r="B211" i="5"/>
  <c r="K211" i="5" s="1"/>
  <c r="C211" i="5"/>
  <c r="R211" i="5" s="1"/>
  <c r="D211" i="5"/>
  <c r="S211" i="5" s="1"/>
  <c r="A212" i="5"/>
  <c r="B212" i="5"/>
  <c r="Q212" i="5" s="1"/>
  <c r="C212" i="5"/>
  <c r="R212" i="5" s="1"/>
  <c r="D212" i="5"/>
  <c r="S212" i="5" s="1"/>
  <c r="A213" i="5"/>
  <c r="B213" i="5"/>
  <c r="E213" i="5" s="1"/>
  <c r="C213" i="5"/>
  <c r="F213" i="5" s="1"/>
  <c r="D213" i="5"/>
  <c r="G213" i="5" s="1"/>
  <c r="A214" i="5"/>
  <c r="B214" i="5"/>
  <c r="H214" i="5" s="1"/>
  <c r="C214" i="5"/>
  <c r="L214" i="5" s="1"/>
  <c r="D214" i="5"/>
  <c r="M214" i="5" s="1"/>
  <c r="A215" i="5"/>
  <c r="B215" i="5"/>
  <c r="Q215" i="5" s="1"/>
  <c r="C215" i="5"/>
  <c r="R215" i="5" s="1"/>
  <c r="D215" i="5"/>
  <c r="S215" i="5" s="1"/>
  <c r="A216" i="5"/>
  <c r="B216" i="5"/>
  <c r="E216" i="5" s="1"/>
  <c r="C216" i="5"/>
  <c r="F216" i="5" s="1"/>
  <c r="D216" i="5"/>
  <c r="G216" i="5" s="1"/>
  <c r="A217" i="5"/>
  <c r="B217" i="5"/>
  <c r="E217" i="5" s="1"/>
  <c r="C217" i="5"/>
  <c r="F217" i="5" s="1"/>
  <c r="D217" i="5"/>
  <c r="G217" i="5" s="1"/>
  <c r="A218" i="5"/>
  <c r="B218" i="5"/>
  <c r="Q218" i="5" s="1"/>
  <c r="C218" i="5"/>
  <c r="L218" i="5" s="1"/>
  <c r="D218" i="5"/>
  <c r="M218" i="5" s="1"/>
  <c r="A219" i="5"/>
  <c r="B219" i="5"/>
  <c r="E219" i="5" s="1"/>
  <c r="C219" i="5"/>
  <c r="R219" i="5" s="1"/>
  <c r="D219" i="5"/>
  <c r="S219" i="5" s="1"/>
  <c r="A220" i="5"/>
  <c r="B220" i="5"/>
  <c r="E220" i="5" s="1"/>
  <c r="C220" i="5"/>
  <c r="F220" i="5" s="1"/>
  <c r="D220" i="5"/>
  <c r="G220" i="5" s="1"/>
  <c r="A221" i="5"/>
  <c r="B221" i="5"/>
  <c r="N221" i="5" s="1"/>
  <c r="C221" i="5"/>
  <c r="F221" i="5" s="1"/>
  <c r="D221" i="5"/>
  <c r="G221" i="5" s="1"/>
  <c r="A222" i="5"/>
  <c r="B222" i="5"/>
  <c r="T222" i="5" s="1"/>
  <c r="C222" i="5"/>
  <c r="U222" i="5" s="1"/>
  <c r="D222" i="5"/>
  <c r="M222" i="5" s="1"/>
  <c r="A223" i="5"/>
  <c r="B223" i="5"/>
  <c r="E223" i="5" s="1"/>
  <c r="C223" i="5"/>
  <c r="F223" i="5" s="1"/>
  <c r="D223" i="5"/>
  <c r="G223" i="5" s="1"/>
  <c r="A224" i="5"/>
  <c r="B224" i="5"/>
  <c r="H224" i="5" s="1"/>
  <c r="C224" i="5"/>
  <c r="I224" i="5" s="1"/>
  <c r="D224" i="5"/>
  <c r="J224" i="5" s="1"/>
  <c r="A225" i="5"/>
  <c r="B225" i="5"/>
  <c r="N225" i="5" s="1"/>
  <c r="C225" i="5"/>
  <c r="O225" i="5" s="1"/>
  <c r="D225" i="5"/>
  <c r="P225" i="5" s="1"/>
  <c r="A226" i="5"/>
  <c r="B226" i="5"/>
  <c r="T226" i="5" s="1"/>
  <c r="C226" i="5"/>
  <c r="U226" i="5" s="1"/>
  <c r="D226" i="5"/>
  <c r="V226" i="5" s="1"/>
  <c r="A227" i="5"/>
  <c r="B227" i="5"/>
  <c r="E227" i="5" s="1"/>
  <c r="C227" i="5"/>
  <c r="F227" i="5" s="1"/>
  <c r="D227" i="5"/>
  <c r="G227" i="5" s="1"/>
  <c r="A228" i="5"/>
  <c r="B228" i="5"/>
  <c r="H228" i="5" s="1"/>
  <c r="C228" i="5"/>
  <c r="I228" i="5" s="1"/>
  <c r="D228" i="5"/>
  <c r="J228" i="5" s="1"/>
  <c r="A229" i="5"/>
  <c r="B229" i="5"/>
  <c r="N229" i="5" s="1"/>
  <c r="C229" i="5"/>
  <c r="O229" i="5" s="1"/>
  <c r="D229" i="5"/>
  <c r="P229" i="5" s="1"/>
  <c r="A230" i="5"/>
  <c r="B230" i="5"/>
  <c r="T230" i="5" s="1"/>
  <c r="C230" i="5"/>
  <c r="U230" i="5" s="1"/>
  <c r="D230" i="5"/>
  <c r="V230" i="5" s="1"/>
  <c r="A231" i="5"/>
  <c r="B231" i="5"/>
  <c r="E231" i="5" s="1"/>
  <c r="C231" i="5"/>
  <c r="F231" i="5" s="1"/>
  <c r="D231" i="5"/>
  <c r="G231" i="5" s="1"/>
  <c r="A232" i="5"/>
  <c r="B232" i="5"/>
  <c r="H232" i="5" s="1"/>
  <c r="C232" i="5"/>
  <c r="I232" i="5" s="1"/>
  <c r="D232" i="5"/>
  <c r="J232" i="5" s="1"/>
  <c r="A233" i="5"/>
  <c r="B233" i="5"/>
  <c r="N233" i="5" s="1"/>
  <c r="C233" i="5"/>
  <c r="O233" i="5" s="1"/>
  <c r="D233" i="5"/>
  <c r="P233" i="5" s="1"/>
  <c r="A234" i="5"/>
  <c r="B234" i="5"/>
  <c r="T234" i="5" s="1"/>
  <c r="C234" i="5"/>
  <c r="U234" i="5" s="1"/>
  <c r="D234" i="5"/>
  <c r="V234" i="5" s="1"/>
  <c r="A235" i="5"/>
  <c r="B235" i="5"/>
  <c r="E235" i="5" s="1"/>
  <c r="C235" i="5"/>
  <c r="F235" i="5" s="1"/>
  <c r="D235" i="5"/>
  <c r="G235" i="5" s="1"/>
  <c r="A236" i="5"/>
  <c r="B236" i="5"/>
  <c r="H236" i="5" s="1"/>
  <c r="C236" i="5"/>
  <c r="I236" i="5" s="1"/>
  <c r="D236" i="5"/>
  <c r="J236" i="5" s="1"/>
  <c r="A237" i="5"/>
  <c r="B237" i="5"/>
  <c r="N237" i="5" s="1"/>
  <c r="C237" i="5"/>
  <c r="O237" i="5" s="1"/>
  <c r="D237" i="5"/>
  <c r="P237" i="5" s="1"/>
  <c r="A238" i="5"/>
  <c r="B238" i="5"/>
  <c r="T238" i="5" s="1"/>
  <c r="C238" i="5"/>
  <c r="U238" i="5" s="1"/>
  <c r="D238" i="5"/>
  <c r="V238" i="5" s="1"/>
  <c r="A239" i="5"/>
  <c r="B239" i="5"/>
  <c r="C239" i="5"/>
  <c r="D239" i="5"/>
  <c r="A240" i="5"/>
  <c r="B240" i="5"/>
  <c r="C240" i="5"/>
  <c r="D240" i="5"/>
  <c r="A241" i="5"/>
  <c r="B241" i="5"/>
  <c r="C241" i="5"/>
  <c r="D241" i="5"/>
  <c r="A242" i="5"/>
  <c r="B242" i="5"/>
  <c r="C242" i="5"/>
  <c r="D242" i="5"/>
  <c r="A243" i="5"/>
  <c r="B243" i="5"/>
  <c r="C243" i="5"/>
  <c r="D243" i="5"/>
  <c r="A244" i="5"/>
  <c r="B244" i="5"/>
  <c r="C244" i="5"/>
  <c r="D244" i="5"/>
  <c r="A245" i="5"/>
  <c r="B245" i="5"/>
  <c r="C245" i="5"/>
  <c r="D245" i="5"/>
  <c r="A246" i="5"/>
  <c r="B246" i="5"/>
  <c r="C246" i="5"/>
  <c r="D246" i="5"/>
  <c r="A247" i="5"/>
  <c r="B247" i="5"/>
  <c r="C247" i="5"/>
  <c r="D247" i="5"/>
  <c r="A248" i="5"/>
  <c r="B248" i="5"/>
  <c r="C248" i="5"/>
  <c r="D248" i="5"/>
  <c r="A249" i="5"/>
  <c r="B249" i="5"/>
  <c r="C249" i="5"/>
  <c r="D249" i="5"/>
  <c r="A250" i="5"/>
  <c r="B250" i="5"/>
  <c r="C250" i="5"/>
  <c r="D250" i="5"/>
  <c r="A251" i="5"/>
  <c r="B251" i="5"/>
  <c r="C251" i="5"/>
  <c r="D251" i="5"/>
  <c r="A252" i="5"/>
  <c r="B252" i="5"/>
  <c r="C252" i="5"/>
  <c r="D252" i="5"/>
  <c r="A253" i="5"/>
  <c r="B253" i="5"/>
  <c r="C253" i="5"/>
  <c r="D253" i="5"/>
  <c r="A254" i="5"/>
  <c r="B254" i="5"/>
  <c r="C254" i="5"/>
  <c r="D254" i="5"/>
  <c r="A255" i="5"/>
  <c r="B255" i="5"/>
  <c r="C255" i="5"/>
  <c r="D255" i="5"/>
  <c r="A256" i="5"/>
  <c r="B256" i="5"/>
  <c r="C256" i="5"/>
  <c r="D256" i="5"/>
  <c r="A257" i="5"/>
  <c r="B257" i="5"/>
  <c r="C257" i="5"/>
  <c r="D257" i="5"/>
  <c r="A258" i="5"/>
  <c r="B258" i="5"/>
  <c r="C258" i="5"/>
  <c r="D258" i="5"/>
  <c r="A259" i="5"/>
  <c r="B259" i="5"/>
  <c r="C259" i="5"/>
  <c r="D259" i="5"/>
  <c r="A260" i="5"/>
  <c r="B260" i="5"/>
  <c r="C260" i="5"/>
  <c r="D260" i="5"/>
  <c r="A261" i="5"/>
  <c r="B261" i="5"/>
  <c r="C261" i="5"/>
  <c r="D261" i="5"/>
  <c r="A262" i="5"/>
  <c r="B262" i="5"/>
  <c r="C262" i="5"/>
  <c r="D262" i="5"/>
  <c r="A263" i="5"/>
  <c r="B263" i="5"/>
  <c r="C263" i="5"/>
  <c r="D263" i="5"/>
  <c r="A264" i="5"/>
  <c r="B264" i="5"/>
  <c r="C264" i="5"/>
  <c r="D264" i="5"/>
  <c r="A265" i="5"/>
  <c r="B265" i="5"/>
  <c r="C265" i="5"/>
  <c r="D265" i="5"/>
  <c r="A266" i="5"/>
  <c r="B266" i="5"/>
  <c r="C266" i="5"/>
  <c r="D266" i="5"/>
  <c r="A267" i="5"/>
  <c r="B267" i="5"/>
  <c r="C267" i="5"/>
  <c r="D267" i="5"/>
  <c r="A268" i="5"/>
  <c r="B268" i="5"/>
  <c r="C268" i="5"/>
  <c r="D268" i="5"/>
  <c r="A269" i="5"/>
  <c r="B269" i="5"/>
  <c r="C269" i="5"/>
  <c r="D269" i="5"/>
  <c r="A270" i="5"/>
  <c r="B270" i="5"/>
  <c r="C270" i="5"/>
  <c r="D270" i="5"/>
  <c r="A271" i="5"/>
  <c r="B271" i="5"/>
  <c r="C271" i="5"/>
  <c r="D271" i="5"/>
  <c r="A272" i="5"/>
  <c r="B272" i="5"/>
  <c r="C272" i="5"/>
  <c r="D272" i="5"/>
  <c r="A273" i="5"/>
  <c r="B273" i="5"/>
  <c r="C273" i="5"/>
  <c r="D273" i="5"/>
  <c r="A274" i="5"/>
  <c r="B274" i="5"/>
  <c r="C274" i="5"/>
  <c r="D274" i="5"/>
  <c r="A275" i="5"/>
  <c r="B275" i="5"/>
  <c r="C275" i="5"/>
  <c r="D275" i="5"/>
  <c r="A276" i="5"/>
  <c r="B276" i="5"/>
  <c r="C276" i="5"/>
  <c r="D276" i="5"/>
  <c r="A277" i="5"/>
  <c r="B277" i="5"/>
  <c r="C277" i="5"/>
  <c r="D277" i="5"/>
  <c r="A278" i="5"/>
  <c r="B278" i="5"/>
  <c r="C278" i="5"/>
  <c r="D278" i="5"/>
  <c r="A279" i="5"/>
  <c r="B279" i="5"/>
  <c r="C279" i="5"/>
  <c r="D279" i="5"/>
  <c r="A280" i="5"/>
  <c r="B280" i="5"/>
  <c r="C280" i="5"/>
  <c r="D280" i="5"/>
  <c r="A281" i="5"/>
  <c r="B281" i="5"/>
  <c r="C281" i="5"/>
  <c r="D281" i="5"/>
  <c r="A282" i="5"/>
  <c r="B282" i="5"/>
  <c r="C282" i="5"/>
  <c r="D282" i="5"/>
  <c r="A283" i="5"/>
  <c r="B283" i="5"/>
  <c r="C283" i="5"/>
  <c r="D283" i="5"/>
  <c r="A284" i="5"/>
  <c r="B284" i="5"/>
  <c r="C284" i="5"/>
  <c r="D284" i="5"/>
  <c r="A285" i="5"/>
  <c r="B285" i="5"/>
  <c r="C285" i="5"/>
  <c r="D285" i="5"/>
  <c r="A286" i="5"/>
  <c r="B286" i="5"/>
  <c r="C286" i="5"/>
  <c r="D286" i="5"/>
  <c r="A287" i="5"/>
  <c r="B287" i="5"/>
  <c r="C287" i="5"/>
  <c r="D287" i="5"/>
  <c r="A288" i="5"/>
  <c r="B288" i="5"/>
  <c r="C288" i="5"/>
  <c r="D288" i="5"/>
  <c r="A289" i="5"/>
  <c r="B289" i="5"/>
  <c r="C289" i="5"/>
  <c r="D289" i="5"/>
  <c r="A290" i="5"/>
  <c r="B290" i="5"/>
  <c r="C290" i="5"/>
  <c r="D290" i="5"/>
  <c r="A291" i="5"/>
  <c r="B291" i="5"/>
  <c r="C291" i="5"/>
  <c r="D291" i="5"/>
  <c r="A292" i="5"/>
  <c r="B292" i="5"/>
  <c r="C292" i="5"/>
  <c r="D292" i="5"/>
  <c r="A293" i="5"/>
  <c r="B293" i="5"/>
  <c r="C293" i="5"/>
  <c r="D293" i="5"/>
  <c r="A294" i="5"/>
  <c r="B294" i="5"/>
  <c r="C294" i="5"/>
  <c r="D294" i="5"/>
  <c r="A295" i="5"/>
  <c r="B295" i="5"/>
  <c r="C295" i="5"/>
  <c r="D295" i="5"/>
  <c r="A296" i="5"/>
  <c r="B296" i="5"/>
  <c r="C296" i="5"/>
  <c r="D296" i="5"/>
  <c r="A297" i="5"/>
  <c r="B297" i="5"/>
  <c r="C297" i="5"/>
  <c r="D297" i="5"/>
  <c r="A298" i="5"/>
  <c r="B298" i="5"/>
  <c r="C298" i="5"/>
  <c r="D298" i="5"/>
  <c r="A299" i="5"/>
  <c r="B299" i="5"/>
  <c r="C299" i="5"/>
  <c r="D299" i="5"/>
  <c r="A300" i="5"/>
  <c r="B300" i="5"/>
  <c r="C300" i="5"/>
  <c r="D300" i="5"/>
  <c r="A301" i="5"/>
  <c r="B301" i="5"/>
  <c r="C301" i="5"/>
  <c r="D301" i="5"/>
  <c r="A302" i="5"/>
  <c r="B302" i="5"/>
  <c r="C302" i="5"/>
  <c r="D302" i="5"/>
  <c r="A303" i="5"/>
  <c r="B303" i="5"/>
  <c r="C303" i="5"/>
  <c r="D303" i="5"/>
  <c r="A304" i="5"/>
  <c r="B304" i="5"/>
  <c r="C304" i="5"/>
  <c r="D304" i="5"/>
  <c r="A305" i="5"/>
  <c r="B305" i="5"/>
  <c r="C305" i="5"/>
  <c r="D305" i="5"/>
  <c r="A306" i="5"/>
  <c r="B306" i="5"/>
  <c r="C306" i="5"/>
  <c r="D306" i="5"/>
  <c r="A307" i="5"/>
  <c r="B307" i="5"/>
  <c r="C307" i="5"/>
  <c r="D307" i="5"/>
  <c r="A308" i="5"/>
  <c r="B308" i="5"/>
  <c r="C308" i="5"/>
  <c r="D308" i="5"/>
  <c r="A309" i="5"/>
  <c r="B309" i="5"/>
  <c r="C309" i="5"/>
  <c r="D309" i="5"/>
  <c r="A310" i="5"/>
  <c r="B310" i="5"/>
  <c r="C310" i="5"/>
  <c r="D310" i="5"/>
  <c r="A311" i="5"/>
  <c r="B311" i="5"/>
  <c r="C311" i="5"/>
  <c r="D311" i="5"/>
  <c r="A312" i="5"/>
  <c r="B312" i="5"/>
  <c r="C312" i="5"/>
  <c r="D312" i="5"/>
  <c r="A313" i="5"/>
  <c r="B313" i="5"/>
  <c r="C313" i="5"/>
  <c r="D313" i="5"/>
  <c r="A314" i="5"/>
  <c r="B314" i="5"/>
  <c r="C314" i="5"/>
  <c r="D314" i="5"/>
  <c r="A315" i="5"/>
  <c r="B315" i="5"/>
  <c r="C315" i="5"/>
  <c r="D315" i="5"/>
  <c r="A316" i="5"/>
  <c r="B316" i="5"/>
  <c r="C316" i="5"/>
  <c r="D316" i="5"/>
  <c r="A317" i="5"/>
  <c r="B317" i="5"/>
  <c r="C317" i="5"/>
  <c r="D317" i="5"/>
  <c r="A318" i="5"/>
  <c r="B318" i="5"/>
  <c r="C318" i="5"/>
  <c r="D318" i="5"/>
  <c r="A319" i="5"/>
  <c r="B319" i="5"/>
  <c r="C319" i="5"/>
  <c r="D319" i="5"/>
  <c r="A320" i="5"/>
  <c r="B320" i="5"/>
  <c r="C320" i="5"/>
  <c r="D320" i="5"/>
  <c r="A321" i="5"/>
  <c r="B321" i="5"/>
  <c r="C321" i="5"/>
  <c r="D321" i="5"/>
  <c r="A322" i="5"/>
  <c r="B322" i="5"/>
  <c r="C322" i="5"/>
  <c r="D322" i="5"/>
  <c r="A323" i="5"/>
  <c r="B323" i="5"/>
  <c r="C323" i="5"/>
  <c r="D323" i="5"/>
  <c r="A324" i="5"/>
  <c r="B324" i="5"/>
  <c r="C324" i="5"/>
  <c r="D324" i="5"/>
  <c r="A325" i="5"/>
  <c r="B325" i="5"/>
  <c r="C325" i="5"/>
  <c r="D325" i="5"/>
  <c r="A326" i="5"/>
  <c r="B326" i="5"/>
  <c r="C326" i="5"/>
  <c r="D326" i="5"/>
  <c r="A327" i="5"/>
  <c r="B327" i="5"/>
  <c r="C327" i="5"/>
  <c r="D327" i="5"/>
  <c r="A328" i="5"/>
  <c r="B328" i="5"/>
  <c r="C328" i="5"/>
  <c r="D328" i="5"/>
  <c r="A329" i="5"/>
  <c r="B329" i="5"/>
  <c r="C329" i="5"/>
  <c r="D329" i="5"/>
  <c r="A330" i="5"/>
  <c r="B330" i="5"/>
  <c r="C330" i="5"/>
  <c r="D330" i="5"/>
  <c r="A331" i="5"/>
  <c r="B331" i="5"/>
  <c r="C331" i="5"/>
  <c r="D331" i="5"/>
  <c r="A332" i="5"/>
  <c r="B332" i="5"/>
  <c r="C332" i="5"/>
  <c r="D332" i="5"/>
  <c r="A333" i="5"/>
  <c r="B333" i="5"/>
  <c r="C333" i="5"/>
  <c r="D333" i="5"/>
  <c r="A334" i="5"/>
  <c r="B334" i="5"/>
  <c r="C334" i="5"/>
  <c r="D334" i="5"/>
  <c r="A335" i="5"/>
  <c r="B335" i="5"/>
  <c r="C335" i="5"/>
  <c r="D335" i="5"/>
  <c r="A336" i="5"/>
  <c r="B336" i="5"/>
  <c r="C336" i="5"/>
  <c r="D336" i="5"/>
  <c r="G336" i="5" s="1"/>
  <c r="A337" i="5"/>
  <c r="B337" i="5"/>
  <c r="C337" i="5"/>
  <c r="D337" i="5"/>
  <c r="A338" i="5"/>
  <c r="B338" i="5"/>
  <c r="C338" i="5"/>
  <c r="D338" i="5"/>
  <c r="A339" i="5"/>
  <c r="B339" i="5"/>
  <c r="C339" i="5"/>
  <c r="D339" i="5"/>
  <c r="A340" i="5"/>
  <c r="B340" i="5"/>
  <c r="C340" i="5"/>
  <c r="D340" i="5"/>
  <c r="A341" i="5"/>
  <c r="B341" i="5"/>
  <c r="C341" i="5"/>
  <c r="D341" i="5"/>
  <c r="A342" i="5"/>
  <c r="B342" i="5"/>
  <c r="C342" i="5"/>
  <c r="D342" i="5"/>
  <c r="A343" i="5"/>
  <c r="B343" i="5"/>
  <c r="C343" i="5"/>
  <c r="D343" i="5"/>
  <c r="A344" i="5"/>
  <c r="B344" i="5"/>
  <c r="C344" i="5"/>
  <c r="D344" i="5"/>
  <c r="A345" i="5"/>
  <c r="B345" i="5"/>
  <c r="C345" i="5"/>
  <c r="D345" i="5"/>
  <c r="A346" i="5"/>
  <c r="B346" i="5"/>
  <c r="C346" i="5"/>
  <c r="D346" i="5"/>
  <c r="A347" i="5"/>
  <c r="B347" i="5"/>
  <c r="C347" i="5"/>
  <c r="D347" i="5"/>
  <c r="A348" i="5"/>
  <c r="B348" i="5"/>
  <c r="C348" i="5"/>
  <c r="D348" i="5"/>
  <c r="A349" i="5"/>
  <c r="B349" i="5"/>
  <c r="C349" i="5"/>
  <c r="D349" i="5"/>
  <c r="A350" i="5"/>
  <c r="B350" i="5"/>
  <c r="C350" i="5"/>
  <c r="D350" i="5"/>
  <c r="A351" i="5"/>
  <c r="B351" i="5"/>
  <c r="C351" i="5"/>
  <c r="D351" i="5"/>
  <c r="A352" i="5"/>
  <c r="B352" i="5"/>
  <c r="C352" i="5"/>
  <c r="D352" i="5"/>
  <c r="A353" i="5"/>
  <c r="B353" i="5"/>
  <c r="C353" i="5"/>
  <c r="D353" i="5"/>
  <c r="A354" i="5"/>
  <c r="B354" i="5"/>
  <c r="C354" i="5"/>
  <c r="D354" i="5"/>
  <c r="A355" i="5"/>
  <c r="B355" i="5"/>
  <c r="C355" i="5"/>
  <c r="D355" i="5"/>
  <c r="A356" i="5"/>
  <c r="B356" i="5"/>
  <c r="C356" i="5"/>
  <c r="D356" i="5"/>
  <c r="A357" i="5"/>
  <c r="B357" i="5"/>
  <c r="C357" i="5"/>
  <c r="D357" i="5"/>
  <c r="A358" i="5"/>
  <c r="B358" i="5"/>
  <c r="C358" i="5"/>
  <c r="D358" i="5"/>
  <c r="A359" i="5"/>
  <c r="B359" i="5"/>
  <c r="C359" i="5"/>
  <c r="D359" i="5"/>
  <c r="A360" i="5"/>
  <c r="B360" i="5"/>
  <c r="C360" i="5"/>
  <c r="D360" i="5"/>
  <c r="A361" i="5"/>
  <c r="B361" i="5"/>
  <c r="T361" i="5" s="1"/>
  <c r="C361" i="5"/>
  <c r="R361" i="5" s="1"/>
  <c r="D361" i="5"/>
  <c r="S361" i="5" s="1"/>
  <c r="A362" i="5"/>
  <c r="B362" i="5"/>
  <c r="C362" i="5"/>
  <c r="D362" i="5"/>
  <c r="A363" i="5"/>
  <c r="B363" i="5"/>
  <c r="C363" i="5"/>
  <c r="D363" i="5"/>
  <c r="A364" i="5"/>
  <c r="B364" i="5"/>
  <c r="C364" i="5"/>
  <c r="D364" i="5"/>
  <c r="A365" i="5"/>
  <c r="B365" i="5"/>
  <c r="C365" i="5"/>
  <c r="D365" i="5"/>
  <c r="A366" i="5"/>
  <c r="B366" i="5"/>
  <c r="C366" i="5"/>
  <c r="D366" i="5"/>
  <c r="A367" i="5"/>
  <c r="B367" i="5"/>
  <c r="C367" i="5"/>
  <c r="D367" i="5"/>
  <c r="A368" i="5"/>
  <c r="B368" i="5"/>
  <c r="C368" i="5"/>
  <c r="D368" i="5"/>
  <c r="A369" i="5"/>
  <c r="B369" i="5"/>
  <c r="C369" i="5"/>
  <c r="D369" i="5"/>
  <c r="A370" i="5"/>
  <c r="B370" i="5"/>
  <c r="C370" i="5"/>
  <c r="D370" i="5"/>
  <c r="A371" i="5"/>
  <c r="B371" i="5"/>
  <c r="C371" i="5"/>
  <c r="D371" i="5"/>
  <c r="A372" i="5"/>
  <c r="B372" i="5"/>
  <c r="C372" i="5"/>
  <c r="D372" i="5"/>
  <c r="A373" i="5"/>
  <c r="B373" i="5"/>
  <c r="C373" i="5"/>
  <c r="D373" i="5"/>
  <c r="A374" i="5"/>
  <c r="B374" i="5"/>
  <c r="C374" i="5"/>
  <c r="D374" i="5"/>
  <c r="A375" i="5"/>
  <c r="B375" i="5"/>
  <c r="C375" i="5"/>
  <c r="D375" i="5"/>
  <c r="A376" i="5"/>
  <c r="B376" i="5"/>
  <c r="C376" i="5"/>
  <c r="D376" i="5"/>
  <c r="A377" i="5"/>
  <c r="B377" i="5"/>
  <c r="C377" i="5"/>
  <c r="D377" i="5"/>
  <c r="A378" i="5"/>
  <c r="B378" i="5"/>
  <c r="C378" i="5"/>
  <c r="D378" i="5"/>
  <c r="A379" i="5"/>
  <c r="B379" i="5"/>
  <c r="C379" i="5"/>
  <c r="D379" i="5"/>
  <c r="A380" i="5"/>
  <c r="B380" i="5"/>
  <c r="H380" i="5" s="1"/>
  <c r="C380" i="5"/>
  <c r="I380" i="5" s="1"/>
  <c r="D380" i="5"/>
  <c r="G380" i="5" s="1"/>
  <c r="A381" i="5"/>
  <c r="B381" i="5"/>
  <c r="C381" i="5"/>
  <c r="D381" i="5"/>
  <c r="A382" i="5"/>
  <c r="B382" i="5"/>
  <c r="C382" i="5"/>
  <c r="D382" i="5"/>
  <c r="A383" i="5"/>
  <c r="B383" i="5"/>
  <c r="C383" i="5"/>
  <c r="D383" i="5"/>
  <c r="A384" i="5"/>
  <c r="B384" i="5"/>
  <c r="C384" i="5"/>
  <c r="D384" i="5"/>
  <c r="A385" i="5"/>
  <c r="B385" i="5"/>
  <c r="C385" i="5"/>
  <c r="D385" i="5"/>
  <c r="A386" i="5"/>
  <c r="B386" i="5"/>
  <c r="C386" i="5"/>
  <c r="D386" i="5"/>
  <c r="A387" i="5"/>
  <c r="B387" i="5"/>
  <c r="C387" i="5"/>
  <c r="D387" i="5"/>
  <c r="A388" i="5"/>
  <c r="B388" i="5"/>
  <c r="H388" i="5" s="1"/>
  <c r="C388" i="5"/>
  <c r="D388" i="5"/>
  <c r="A389" i="5"/>
  <c r="B389" i="5"/>
  <c r="C389" i="5"/>
  <c r="D389" i="5"/>
  <c r="A390" i="5"/>
  <c r="B390" i="5"/>
  <c r="N390" i="5" s="1"/>
  <c r="C390" i="5"/>
  <c r="D390" i="5"/>
  <c r="A391" i="5"/>
  <c r="B391" i="5"/>
  <c r="C391" i="5"/>
  <c r="D391" i="5"/>
  <c r="A392" i="5"/>
  <c r="B392" i="5"/>
  <c r="C392" i="5"/>
  <c r="D392" i="5"/>
  <c r="A393" i="5"/>
  <c r="B393" i="5"/>
  <c r="C393" i="5"/>
  <c r="D393" i="5"/>
  <c r="A394" i="5"/>
  <c r="B394" i="5"/>
  <c r="C394" i="5"/>
  <c r="D394" i="5"/>
  <c r="A395" i="5"/>
  <c r="B395" i="5"/>
  <c r="C395" i="5"/>
  <c r="D395" i="5"/>
  <c r="A396" i="5"/>
  <c r="B396" i="5"/>
  <c r="C396" i="5"/>
  <c r="D396" i="5"/>
  <c r="G396" i="5" s="1"/>
  <c r="A397" i="5"/>
  <c r="B397" i="5"/>
  <c r="T397" i="5" s="1"/>
  <c r="C397" i="5"/>
  <c r="D397" i="5"/>
  <c r="A398" i="5"/>
  <c r="B398" i="5"/>
  <c r="C398" i="5"/>
  <c r="D398" i="5"/>
  <c r="A399" i="5"/>
  <c r="B399" i="5"/>
  <c r="C399" i="5"/>
  <c r="D399" i="5"/>
  <c r="A400" i="5"/>
  <c r="B400" i="5"/>
  <c r="C400" i="5"/>
  <c r="D400" i="5"/>
  <c r="A401" i="5"/>
  <c r="B401" i="5"/>
  <c r="C401" i="5"/>
  <c r="D401" i="5"/>
  <c r="A402" i="5"/>
  <c r="B402" i="5"/>
  <c r="C402" i="5"/>
  <c r="D402" i="5"/>
  <c r="A403" i="5"/>
  <c r="B403" i="5"/>
  <c r="H403" i="5" s="1"/>
  <c r="C403" i="5"/>
  <c r="I403" i="5" s="1"/>
  <c r="D403" i="5"/>
  <c r="G403" i="5" s="1"/>
  <c r="A404" i="5"/>
  <c r="B404" i="5"/>
  <c r="C404" i="5"/>
  <c r="O404" i="5" s="1"/>
  <c r="D404" i="5"/>
  <c r="V404" i="5" s="1"/>
  <c r="A405" i="5"/>
  <c r="B405" i="5"/>
  <c r="C405" i="5"/>
  <c r="D405" i="5"/>
  <c r="A406" i="5"/>
  <c r="B406" i="5"/>
  <c r="C406" i="5"/>
  <c r="D406" i="5"/>
  <c r="A407" i="5"/>
  <c r="B407" i="5"/>
  <c r="C407" i="5"/>
  <c r="D407" i="5"/>
  <c r="A408" i="5"/>
  <c r="B408" i="5"/>
  <c r="C408" i="5"/>
  <c r="D408" i="5"/>
  <c r="M408" i="5" s="1"/>
  <c r="A409" i="5"/>
  <c r="B409" i="5"/>
  <c r="C409" i="5"/>
  <c r="U409" i="5" s="1"/>
  <c r="D409" i="5"/>
  <c r="A410" i="5"/>
  <c r="B410" i="5"/>
  <c r="C410" i="5"/>
  <c r="I410" i="5" s="1"/>
  <c r="D410" i="5"/>
  <c r="J410" i="5" s="1"/>
  <c r="A411" i="5"/>
  <c r="B411" i="5"/>
  <c r="C411" i="5"/>
  <c r="D411" i="5"/>
  <c r="A412" i="5"/>
  <c r="B412" i="5"/>
  <c r="C412" i="5"/>
  <c r="D412" i="5"/>
  <c r="A413" i="5"/>
  <c r="B413" i="5"/>
  <c r="C413" i="5"/>
  <c r="U413" i="5" s="1"/>
  <c r="D413" i="5"/>
  <c r="S413" i="5" s="1"/>
  <c r="A414" i="5"/>
  <c r="B414" i="5"/>
  <c r="C414" i="5"/>
  <c r="D414" i="5"/>
  <c r="A415" i="5"/>
  <c r="B415" i="5"/>
  <c r="C415" i="5"/>
  <c r="F415" i="5" s="1"/>
  <c r="D415" i="5"/>
  <c r="A416" i="5"/>
  <c r="B416" i="5"/>
  <c r="C416" i="5"/>
  <c r="D416" i="5"/>
  <c r="A417" i="5"/>
  <c r="B417" i="5"/>
  <c r="C417" i="5"/>
  <c r="D417" i="5"/>
  <c r="M417" i="5" s="1"/>
  <c r="A418" i="5"/>
  <c r="B418" i="5"/>
  <c r="C418" i="5"/>
  <c r="D418" i="5"/>
  <c r="A419" i="5"/>
  <c r="B419" i="5"/>
  <c r="C419" i="5"/>
  <c r="D419" i="5"/>
  <c r="A420" i="5"/>
  <c r="B420" i="5"/>
  <c r="C420" i="5"/>
  <c r="D420" i="5"/>
  <c r="A421" i="5"/>
  <c r="B421" i="5"/>
  <c r="C421" i="5"/>
  <c r="I421" i="5" s="1"/>
  <c r="D421" i="5"/>
  <c r="J421" i="5" s="1"/>
  <c r="A422" i="5"/>
  <c r="B422" i="5"/>
  <c r="N422" i="5" s="1"/>
  <c r="C422" i="5"/>
  <c r="O422" i="5" s="1"/>
  <c r="D422" i="5"/>
  <c r="P422" i="5" s="1"/>
  <c r="A423" i="5"/>
  <c r="B423" i="5"/>
  <c r="C423" i="5"/>
  <c r="D423" i="5"/>
  <c r="A424" i="5"/>
  <c r="B424" i="5"/>
  <c r="C424" i="5"/>
  <c r="D424" i="5"/>
  <c r="A425" i="5"/>
  <c r="B425" i="5"/>
  <c r="C425" i="5"/>
  <c r="D425" i="5"/>
  <c r="A426" i="5"/>
  <c r="B426" i="5"/>
  <c r="C426" i="5"/>
  <c r="D426" i="5"/>
  <c r="J426" i="5" s="1"/>
  <c r="A427" i="5"/>
  <c r="B427" i="5"/>
  <c r="C427" i="5"/>
  <c r="D427" i="5"/>
  <c r="A428" i="5"/>
  <c r="B428" i="5"/>
  <c r="C428" i="5"/>
  <c r="D428" i="5"/>
  <c r="A429" i="5"/>
  <c r="B429" i="5"/>
  <c r="H429" i="5" s="1"/>
  <c r="C429" i="5"/>
  <c r="I429" i="5" s="1"/>
  <c r="D429" i="5"/>
  <c r="G429" i="5" s="1"/>
  <c r="A430" i="5"/>
  <c r="B430" i="5"/>
  <c r="C430" i="5"/>
  <c r="D430" i="5"/>
  <c r="A431" i="5"/>
  <c r="B431" i="5"/>
  <c r="C431" i="5"/>
  <c r="D431" i="5"/>
  <c r="A432" i="5"/>
  <c r="B432" i="5"/>
  <c r="C432" i="5"/>
  <c r="D432" i="5"/>
  <c r="J432" i="5" s="1"/>
  <c r="A433" i="5"/>
  <c r="B433" i="5"/>
  <c r="C433" i="5"/>
  <c r="D433" i="5"/>
  <c r="A434" i="5"/>
  <c r="B434" i="5"/>
  <c r="C434" i="5"/>
  <c r="D434" i="5"/>
  <c r="A435" i="5"/>
  <c r="B435" i="5"/>
  <c r="C435" i="5"/>
  <c r="D435" i="5"/>
  <c r="A436" i="5"/>
  <c r="B436" i="5"/>
  <c r="C436" i="5"/>
  <c r="D436" i="5"/>
  <c r="A437" i="5"/>
  <c r="B437" i="5"/>
  <c r="C437" i="5"/>
  <c r="D437" i="5"/>
  <c r="A438" i="5"/>
  <c r="B438" i="5"/>
  <c r="K438" i="5" s="1"/>
  <c r="C438" i="5"/>
  <c r="D438" i="5"/>
  <c r="J438" i="5" s="1"/>
  <c r="A439" i="5"/>
  <c r="B439" i="5"/>
  <c r="H439" i="5" s="1"/>
  <c r="C439" i="5"/>
  <c r="I439" i="5" s="1"/>
  <c r="D439" i="5"/>
  <c r="G439" i="5" s="1"/>
  <c r="A440" i="5"/>
  <c r="B440" i="5"/>
  <c r="C440" i="5"/>
  <c r="D440" i="5"/>
  <c r="A441" i="5"/>
  <c r="B441" i="5"/>
  <c r="C441" i="5"/>
  <c r="I441" i="5" s="1"/>
  <c r="D441" i="5"/>
  <c r="A442" i="5"/>
  <c r="B442" i="5"/>
  <c r="H442" i="5" s="1"/>
  <c r="C442" i="5"/>
  <c r="I442" i="5" s="1"/>
  <c r="D442" i="5"/>
  <c r="G442" i="5" s="1"/>
  <c r="A443" i="5"/>
  <c r="B443" i="5"/>
  <c r="C443" i="5"/>
  <c r="D443" i="5"/>
  <c r="A444" i="5"/>
  <c r="B444" i="5"/>
  <c r="C444" i="5"/>
  <c r="D444" i="5"/>
  <c r="A445" i="5"/>
  <c r="B445" i="5"/>
  <c r="H445" i="5" s="1"/>
  <c r="C445" i="5"/>
  <c r="I445" i="5" s="1"/>
  <c r="D445" i="5"/>
  <c r="J445" i="5" s="1"/>
  <c r="A446" i="5"/>
  <c r="B446" i="5"/>
  <c r="C446" i="5"/>
  <c r="D446" i="5"/>
  <c r="A447" i="5"/>
  <c r="B447" i="5"/>
  <c r="C447" i="5"/>
  <c r="D447" i="5"/>
  <c r="A448" i="5"/>
  <c r="B448" i="5"/>
  <c r="K448" i="5" s="1"/>
  <c r="C448" i="5"/>
  <c r="D448" i="5"/>
  <c r="A449" i="5"/>
  <c r="B449" i="5"/>
  <c r="C449" i="5"/>
  <c r="D449" i="5"/>
  <c r="A450" i="5"/>
  <c r="B450" i="5"/>
  <c r="C450" i="5"/>
  <c r="D450" i="5"/>
  <c r="A451" i="5"/>
  <c r="B451" i="5"/>
  <c r="E451" i="5" s="1"/>
  <c r="C451" i="5"/>
  <c r="F451" i="5" s="1"/>
  <c r="D451" i="5"/>
  <c r="G451" i="5" s="1"/>
  <c r="A452" i="5"/>
  <c r="B452" i="5"/>
  <c r="C452" i="5"/>
  <c r="D452" i="5"/>
  <c r="A453" i="5"/>
  <c r="B453" i="5"/>
  <c r="C453" i="5"/>
  <c r="D453" i="5"/>
  <c r="A454" i="5"/>
  <c r="B454" i="5"/>
  <c r="C454" i="5"/>
  <c r="D454" i="5"/>
  <c r="A455" i="5"/>
  <c r="B455" i="5"/>
  <c r="C455" i="5"/>
  <c r="D455" i="5"/>
  <c r="A456" i="5"/>
  <c r="B456" i="5"/>
  <c r="C456" i="5"/>
  <c r="D456" i="5"/>
  <c r="S456" i="5" s="1"/>
  <c r="A457" i="5"/>
  <c r="B457" i="5"/>
  <c r="E457" i="5" s="1"/>
  <c r="C457" i="5"/>
  <c r="F457" i="5" s="1"/>
  <c r="D457" i="5"/>
  <c r="G457" i="5" s="1"/>
  <c r="A458" i="5"/>
  <c r="B458" i="5"/>
  <c r="C458" i="5"/>
  <c r="F458" i="5" s="1"/>
  <c r="D458" i="5"/>
  <c r="G458" i="5" s="1"/>
  <c r="A459" i="5"/>
  <c r="B459" i="5"/>
  <c r="Q459" i="5" s="1"/>
  <c r="C459" i="5"/>
  <c r="U459" i="5" s="1"/>
  <c r="D459" i="5"/>
  <c r="V459" i="5" s="1"/>
  <c r="A460" i="5"/>
  <c r="B460" i="5"/>
  <c r="E460" i="5" s="1"/>
  <c r="C460" i="5"/>
  <c r="D460" i="5"/>
  <c r="A461" i="5"/>
  <c r="B461" i="5"/>
  <c r="C461" i="5"/>
  <c r="D461" i="5"/>
  <c r="A462" i="5"/>
  <c r="B462" i="5"/>
  <c r="C462" i="5"/>
  <c r="D462" i="5"/>
  <c r="S462" i="5" s="1"/>
  <c r="A463" i="5"/>
  <c r="B463" i="5"/>
  <c r="E463" i="5" s="1"/>
  <c r="C463" i="5"/>
  <c r="D463" i="5"/>
  <c r="S463" i="5" s="1"/>
  <c r="A464" i="5"/>
  <c r="B464" i="5"/>
  <c r="C464" i="5"/>
  <c r="D464" i="5"/>
  <c r="A465" i="5"/>
  <c r="B465" i="5"/>
  <c r="K465" i="5" s="1"/>
  <c r="C465" i="5"/>
  <c r="I465" i="5" s="1"/>
  <c r="D465" i="5"/>
  <c r="P465" i="5" s="1"/>
  <c r="A466" i="5"/>
  <c r="B466" i="5"/>
  <c r="C466" i="5"/>
  <c r="D466" i="5"/>
  <c r="A467" i="5"/>
  <c r="B467" i="5"/>
  <c r="C467" i="5"/>
  <c r="L467" i="5" s="1"/>
  <c r="D467" i="5"/>
  <c r="A468" i="5"/>
  <c r="B468" i="5"/>
  <c r="C468" i="5"/>
  <c r="D468" i="5"/>
  <c r="G468" i="5" s="1"/>
  <c r="A469" i="5"/>
  <c r="B469" i="5"/>
  <c r="C469" i="5"/>
  <c r="R469" i="5" s="1"/>
  <c r="D469" i="5"/>
  <c r="P469" i="5" s="1"/>
  <c r="A470" i="5"/>
  <c r="B470" i="5"/>
  <c r="H470" i="5" s="1"/>
  <c r="C470" i="5"/>
  <c r="F470" i="5" s="1"/>
  <c r="D470" i="5"/>
  <c r="G470" i="5" s="1"/>
  <c r="A471" i="5"/>
  <c r="B471" i="5"/>
  <c r="Q471" i="5" s="1"/>
  <c r="C471" i="5"/>
  <c r="O471" i="5" s="1"/>
  <c r="D471" i="5"/>
  <c r="A472" i="5"/>
  <c r="B472" i="5"/>
  <c r="K472" i="5" s="1"/>
  <c r="C472" i="5"/>
  <c r="D472" i="5"/>
  <c r="J472" i="5" s="1"/>
  <c r="A473" i="5"/>
  <c r="B473" i="5"/>
  <c r="C473" i="5"/>
  <c r="D473" i="5"/>
  <c r="A474" i="5"/>
  <c r="B474" i="5"/>
  <c r="C474" i="5"/>
  <c r="D474" i="5"/>
  <c r="J474" i="5" s="1"/>
  <c r="A475" i="5"/>
  <c r="B475" i="5"/>
  <c r="T475" i="5" s="1"/>
  <c r="C475" i="5"/>
  <c r="R475" i="5" s="1"/>
  <c r="D475" i="5"/>
  <c r="A476" i="5"/>
  <c r="B476" i="5"/>
  <c r="E476" i="5" s="1"/>
  <c r="C476" i="5"/>
  <c r="F476" i="5" s="1"/>
  <c r="D476" i="5"/>
  <c r="G476" i="5" s="1"/>
  <c r="A477" i="5"/>
  <c r="B477" i="5"/>
  <c r="C477" i="5"/>
  <c r="D477" i="5"/>
  <c r="A478" i="5"/>
  <c r="B478" i="5"/>
  <c r="C478" i="5"/>
  <c r="D478" i="5"/>
  <c r="A479" i="5"/>
  <c r="B479" i="5"/>
  <c r="C479" i="5"/>
  <c r="D479" i="5"/>
  <c r="A480" i="5"/>
  <c r="B480" i="5"/>
  <c r="C480" i="5"/>
  <c r="D480" i="5"/>
  <c r="M480" i="5" s="1"/>
  <c r="A481" i="5"/>
  <c r="B481" i="5"/>
  <c r="E481" i="5" s="1"/>
  <c r="C481" i="5"/>
  <c r="F481" i="5" s="1"/>
  <c r="D481" i="5"/>
  <c r="A482" i="5"/>
  <c r="B482" i="5"/>
  <c r="N482" i="5" s="1"/>
  <c r="C482" i="5"/>
  <c r="D482" i="5"/>
  <c r="A483" i="5"/>
  <c r="B483" i="5"/>
  <c r="C483" i="5"/>
  <c r="D483" i="5"/>
  <c r="A484" i="5"/>
  <c r="B484" i="5"/>
  <c r="T484" i="5" s="1"/>
  <c r="C484" i="5"/>
  <c r="D484" i="5"/>
  <c r="S484" i="5" s="1"/>
  <c r="A485" i="5"/>
  <c r="B485" i="5"/>
  <c r="C485" i="5"/>
  <c r="D485" i="5"/>
  <c r="A486" i="5"/>
  <c r="B486" i="5"/>
  <c r="K486" i="5" s="1"/>
  <c r="C486" i="5"/>
  <c r="D486" i="5"/>
  <c r="V486" i="5" s="1"/>
  <c r="A487" i="5"/>
  <c r="B487" i="5"/>
  <c r="C487" i="5"/>
  <c r="D487" i="5"/>
  <c r="A488" i="5"/>
  <c r="B488" i="5"/>
  <c r="N488" i="5" s="1"/>
  <c r="C488" i="5"/>
  <c r="O488" i="5" s="1"/>
  <c r="D488" i="5"/>
  <c r="S488" i="5" s="1"/>
  <c r="A489" i="5"/>
  <c r="B489" i="5"/>
  <c r="C489" i="5"/>
  <c r="D489" i="5"/>
  <c r="A490" i="5"/>
  <c r="B490" i="5"/>
  <c r="H490" i="5" s="1"/>
  <c r="C490" i="5"/>
  <c r="R490" i="5" s="1"/>
  <c r="D490" i="5"/>
  <c r="J490" i="5" s="1"/>
  <c r="A491" i="5"/>
  <c r="B491" i="5"/>
  <c r="C491" i="5"/>
  <c r="D491" i="5"/>
  <c r="A492" i="5"/>
  <c r="B492" i="5"/>
  <c r="C492" i="5"/>
  <c r="D492" i="5"/>
  <c r="J492" i="5" s="1"/>
  <c r="A493" i="5"/>
  <c r="B493" i="5"/>
  <c r="N493" i="5" s="1"/>
  <c r="C493" i="5"/>
  <c r="L493" i="5" s="1"/>
  <c r="D493" i="5"/>
  <c r="S493" i="5" s="1"/>
  <c r="A494" i="5"/>
  <c r="B494" i="5"/>
  <c r="E494" i="5" s="1"/>
  <c r="C494" i="5"/>
  <c r="F494" i="5" s="1"/>
  <c r="D494" i="5"/>
  <c r="A495" i="5"/>
  <c r="B495" i="5"/>
  <c r="C495" i="5"/>
  <c r="D495" i="5"/>
  <c r="A496" i="5"/>
  <c r="B496" i="5"/>
  <c r="E496" i="5" s="1"/>
  <c r="C496" i="5"/>
  <c r="D496" i="5"/>
  <c r="P496" i="5" s="1"/>
  <c r="A497" i="5"/>
  <c r="B497" i="5"/>
  <c r="C497" i="5"/>
  <c r="O497" i="5" s="1"/>
  <c r="D497" i="5"/>
  <c r="A498" i="5"/>
  <c r="B498" i="5"/>
  <c r="C498" i="5"/>
  <c r="D498" i="5"/>
  <c r="G498" i="5" s="1"/>
  <c r="A499" i="5"/>
  <c r="B499" i="5"/>
  <c r="H499" i="5" s="1"/>
  <c r="C499" i="5"/>
  <c r="F499" i="5" s="1"/>
  <c r="D499" i="5"/>
  <c r="G499" i="5" s="1"/>
  <c r="A500" i="5"/>
  <c r="B500" i="5"/>
  <c r="T500" i="5" s="1"/>
  <c r="C500" i="5"/>
  <c r="U500" i="5" s="1"/>
  <c r="D500" i="5"/>
  <c r="V500" i="5" s="1"/>
  <c r="A501" i="5"/>
  <c r="B501" i="5"/>
  <c r="T501" i="5" s="1"/>
  <c r="C501" i="5"/>
  <c r="U501" i="5" s="1"/>
  <c r="D501" i="5"/>
  <c r="V501" i="5" s="1"/>
  <c r="A502" i="5"/>
  <c r="B502" i="5"/>
  <c r="H502" i="5" s="1"/>
  <c r="C502" i="5"/>
  <c r="D502" i="5"/>
  <c r="G502" i="5" s="1"/>
  <c r="A503" i="5"/>
  <c r="B503" i="5"/>
  <c r="C503" i="5"/>
  <c r="D503" i="5"/>
  <c r="V503" i="5" s="1"/>
  <c r="A504" i="5"/>
  <c r="B504" i="5"/>
  <c r="C504" i="5"/>
  <c r="D504" i="5"/>
  <c r="P504" i="5" s="1"/>
  <c r="A505" i="5"/>
  <c r="B505" i="5"/>
  <c r="E505" i="5" s="1"/>
  <c r="C505" i="5"/>
  <c r="F505" i="5" s="1"/>
  <c r="D505" i="5"/>
  <c r="G505" i="5" s="1"/>
  <c r="A506" i="5"/>
  <c r="B506" i="5"/>
  <c r="N506" i="5" s="1"/>
  <c r="C506" i="5"/>
  <c r="O506" i="5" s="1"/>
  <c r="D506" i="5"/>
  <c r="A507" i="5"/>
  <c r="B507" i="5"/>
  <c r="N507" i="5" s="1"/>
  <c r="C507" i="5"/>
  <c r="L507" i="5" s="1"/>
  <c r="D507" i="5"/>
  <c r="M507" i="5" s="1"/>
  <c r="A508" i="5"/>
  <c r="B508" i="5"/>
  <c r="E508" i="5" s="1"/>
  <c r="C508" i="5"/>
  <c r="D508" i="5"/>
  <c r="A509" i="5"/>
  <c r="B509" i="5"/>
  <c r="C509" i="5"/>
  <c r="D509" i="5"/>
  <c r="A510" i="5"/>
  <c r="B510" i="5"/>
  <c r="T510" i="5" s="1"/>
  <c r="C510" i="5"/>
  <c r="D510" i="5"/>
  <c r="M510" i="5" s="1"/>
  <c r="A511" i="5"/>
  <c r="B511" i="5"/>
  <c r="Q511" i="5" s="1"/>
  <c r="C511" i="5"/>
  <c r="R511" i="5" s="1"/>
  <c r="D511" i="5"/>
  <c r="S511" i="5" s="1"/>
  <c r="A512" i="5"/>
  <c r="B512" i="5"/>
  <c r="E512" i="5" s="1"/>
  <c r="C512" i="5"/>
  <c r="F512" i="5" s="1"/>
  <c r="D512" i="5"/>
  <c r="G512" i="5" s="1"/>
  <c r="A513" i="5"/>
  <c r="B513" i="5"/>
  <c r="E513" i="5" s="1"/>
  <c r="C513" i="5"/>
  <c r="F513" i="5" s="1"/>
  <c r="D513" i="5"/>
  <c r="G513" i="5" s="1"/>
  <c r="A514" i="5"/>
  <c r="B514" i="5"/>
  <c r="E514" i="5" s="1"/>
  <c r="C514" i="5"/>
  <c r="D514" i="5"/>
  <c r="V514" i="5" s="1"/>
  <c r="A515" i="5"/>
  <c r="B515" i="5"/>
  <c r="Q515" i="5" s="1"/>
  <c r="C515" i="5"/>
  <c r="R515" i="5" s="1"/>
  <c r="D515" i="5"/>
  <c r="S515" i="5" s="1"/>
  <c r="A516" i="5"/>
  <c r="B516" i="5"/>
  <c r="C516" i="5"/>
  <c r="D516" i="5"/>
  <c r="G516" i="5" s="1"/>
  <c r="A517" i="5"/>
  <c r="B517" i="5"/>
  <c r="T517" i="5" s="1"/>
  <c r="C517" i="5"/>
  <c r="U517" i="5" s="1"/>
  <c r="D517" i="5"/>
  <c r="G517" i="5" s="1"/>
  <c r="A518" i="5"/>
  <c r="B518" i="5"/>
  <c r="K518" i="5" s="1"/>
  <c r="C518" i="5"/>
  <c r="L518" i="5" s="1"/>
  <c r="D518" i="5"/>
  <c r="A519" i="5"/>
  <c r="B519" i="5"/>
  <c r="T519" i="5" s="1"/>
  <c r="C519" i="5"/>
  <c r="R519" i="5" s="1"/>
  <c r="D519" i="5"/>
  <c r="S519" i="5" s="1"/>
  <c r="A520" i="5"/>
  <c r="B520" i="5"/>
  <c r="E520" i="5" s="1"/>
  <c r="C520" i="5"/>
  <c r="L520" i="5" s="1"/>
  <c r="D520" i="5"/>
  <c r="G520" i="5" s="1"/>
  <c r="A521" i="5"/>
  <c r="B521" i="5"/>
  <c r="E521" i="5" s="1"/>
  <c r="C521" i="5"/>
  <c r="F521" i="5" s="1"/>
  <c r="D521" i="5"/>
  <c r="A522" i="5"/>
  <c r="B522" i="5"/>
  <c r="T522" i="5" s="1"/>
  <c r="C522" i="5"/>
  <c r="D522" i="5"/>
  <c r="S522" i="5" s="1"/>
  <c r="A523" i="5"/>
  <c r="B523" i="5"/>
  <c r="H523" i="5" s="1"/>
  <c r="C523" i="5"/>
  <c r="I523" i="5" s="1"/>
  <c r="D523" i="5"/>
  <c r="J523" i="5" s="1"/>
  <c r="A524" i="5"/>
  <c r="B524" i="5"/>
  <c r="T524" i="5" s="1"/>
  <c r="C524" i="5"/>
  <c r="F524" i="5" s="1"/>
  <c r="D524" i="5"/>
  <c r="G524" i="5" s="1"/>
  <c r="A525" i="5"/>
  <c r="B525" i="5"/>
  <c r="K525" i="5" s="1"/>
  <c r="C525" i="5"/>
  <c r="L525" i="5" s="1"/>
  <c r="D525" i="5"/>
  <c r="M525" i="5" s="1"/>
  <c r="A526" i="5"/>
  <c r="B526" i="5"/>
  <c r="C526" i="5"/>
  <c r="D526" i="5"/>
  <c r="A527" i="5"/>
  <c r="B527" i="5"/>
  <c r="E527" i="5" s="1"/>
  <c r="C527" i="5"/>
  <c r="L527" i="5" s="1"/>
  <c r="D527" i="5"/>
  <c r="M527" i="5" s="1"/>
  <c r="A528" i="5"/>
  <c r="B528" i="5"/>
  <c r="E528" i="5" s="1"/>
  <c r="C528" i="5"/>
  <c r="D528" i="5"/>
  <c r="V528" i="5" s="1"/>
  <c r="A529" i="5"/>
  <c r="B529" i="5"/>
  <c r="N529" i="5" s="1"/>
  <c r="C529" i="5"/>
  <c r="R529" i="5" s="1"/>
  <c r="D529" i="5"/>
  <c r="P529" i="5" s="1"/>
  <c r="A530" i="5"/>
  <c r="B530" i="5"/>
  <c r="E530" i="5" s="1"/>
  <c r="C530" i="5"/>
  <c r="D530" i="5"/>
  <c r="A531" i="5"/>
  <c r="B531" i="5"/>
  <c r="K531" i="5" s="1"/>
  <c r="C531" i="5"/>
  <c r="L531" i="5" s="1"/>
  <c r="D531" i="5"/>
  <c r="M531" i="5" s="1"/>
  <c r="A532" i="5"/>
  <c r="B532" i="5"/>
  <c r="K532" i="5" s="1"/>
  <c r="C532" i="5"/>
  <c r="O532" i="5" s="1"/>
  <c r="D532" i="5"/>
  <c r="G532" i="5" s="1"/>
  <c r="A533" i="5"/>
  <c r="B533" i="5"/>
  <c r="C533" i="5"/>
  <c r="D533" i="5"/>
  <c r="A534" i="5"/>
  <c r="B534" i="5"/>
  <c r="K534" i="5" s="1"/>
  <c r="C534" i="5"/>
  <c r="D534" i="5"/>
  <c r="G534" i="5" s="1"/>
  <c r="A535" i="5"/>
  <c r="B535" i="5"/>
  <c r="K535" i="5" s="1"/>
  <c r="C535" i="5"/>
  <c r="U535" i="5" s="1"/>
  <c r="D535" i="5"/>
  <c r="V535" i="5" s="1"/>
  <c r="A536" i="5"/>
  <c r="B536" i="5"/>
  <c r="N536" i="5" s="1"/>
  <c r="C536" i="5"/>
  <c r="O536" i="5" s="1"/>
  <c r="D536" i="5"/>
  <c r="M536" i="5" s="1"/>
  <c r="A537" i="5"/>
  <c r="B537" i="5"/>
  <c r="E537" i="5" s="1"/>
  <c r="C537" i="5"/>
  <c r="F537" i="5" s="1"/>
  <c r="D537" i="5"/>
  <c r="A538" i="5"/>
  <c r="B538" i="5"/>
  <c r="C538" i="5"/>
  <c r="O538" i="5" s="1"/>
  <c r="D538" i="5"/>
  <c r="A539" i="5"/>
  <c r="B539" i="5"/>
  <c r="N539" i="5" s="1"/>
  <c r="C539" i="5"/>
  <c r="F539" i="5" s="1"/>
  <c r="D539" i="5"/>
  <c r="P539" i="5" s="1"/>
  <c r="A540" i="5"/>
  <c r="B540" i="5"/>
  <c r="C540" i="5"/>
  <c r="D540" i="5"/>
  <c r="P540" i="5" s="1"/>
  <c r="A541" i="5"/>
  <c r="B541" i="5"/>
  <c r="E541" i="5" s="1"/>
  <c r="C541" i="5"/>
  <c r="F541" i="5" s="1"/>
  <c r="D541" i="5"/>
  <c r="G541" i="5" s="1"/>
  <c r="A542" i="5"/>
  <c r="B542" i="5"/>
  <c r="T542" i="5" s="1"/>
  <c r="C542" i="5"/>
  <c r="U542" i="5" s="1"/>
  <c r="D542" i="5"/>
  <c r="S542" i="5" s="1"/>
  <c r="A543" i="5"/>
  <c r="B543" i="5"/>
  <c r="N543" i="5" s="1"/>
  <c r="C543" i="5"/>
  <c r="O543" i="5" s="1"/>
  <c r="D543" i="5"/>
  <c r="P543" i="5" s="1"/>
  <c r="A544" i="5"/>
  <c r="B544" i="5"/>
  <c r="E544" i="5" s="1"/>
  <c r="C544" i="5"/>
  <c r="D544" i="5"/>
  <c r="G544" i="5" s="1"/>
  <c r="A545" i="5"/>
  <c r="B545" i="5"/>
  <c r="C545" i="5"/>
  <c r="D545" i="5"/>
  <c r="A546" i="5"/>
  <c r="B546" i="5"/>
  <c r="E546" i="5" s="1"/>
  <c r="C546" i="5"/>
  <c r="D546" i="5"/>
  <c r="V546" i="5" s="1"/>
  <c r="A547" i="5"/>
  <c r="B547" i="5"/>
  <c r="Q547" i="5" s="1"/>
  <c r="C547" i="5"/>
  <c r="O547" i="5" s="1"/>
  <c r="D547" i="5"/>
  <c r="P547" i="5" s="1"/>
  <c r="A548" i="5"/>
  <c r="B548" i="5"/>
  <c r="E548" i="5" s="1"/>
  <c r="C548" i="5"/>
  <c r="F548" i="5" s="1"/>
  <c r="D548" i="5"/>
  <c r="G548" i="5" s="1"/>
  <c r="A549" i="5"/>
  <c r="B549" i="5"/>
  <c r="T549" i="5" s="1"/>
  <c r="C549" i="5"/>
  <c r="U549" i="5" s="1"/>
  <c r="D549" i="5"/>
  <c r="G549" i="5" s="1"/>
  <c r="A550" i="5"/>
  <c r="B550" i="5"/>
  <c r="T550" i="5" s="1"/>
  <c r="C550" i="5"/>
  <c r="D550" i="5"/>
  <c r="V550" i="5" s="1"/>
  <c r="A551" i="5"/>
  <c r="B551" i="5"/>
  <c r="E551" i="5" s="1"/>
  <c r="C551" i="5"/>
  <c r="R551" i="5" s="1"/>
  <c r="D551" i="5"/>
  <c r="G551" i="5" s="1"/>
  <c r="A552" i="5"/>
  <c r="B552" i="5"/>
  <c r="C552" i="5"/>
  <c r="D552" i="5"/>
  <c r="G552" i="5" s="1"/>
  <c r="A553" i="5"/>
  <c r="B553" i="5"/>
  <c r="E553" i="5" s="1"/>
  <c r="C553" i="5"/>
  <c r="F553" i="5" s="1"/>
  <c r="D553" i="5"/>
  <c r="G553" i="5" s="1"/>
  <c r="A554" i="5"/>
  <c r="B554" i="5"/>
  <c r="T554" i="5" s="1"/>
  <c r="C554" i="5"/>
  <c r="U554" i="5" s="1"/>
  <c r="D554" i="5"/>
  <c r="V554" i="5" s="1"/>
  <c r="A555" i="5"/>
  <c r="B555" i="5"/>
  <c r="H555" i="5" s="1"/>
  <c r="C555" i="5"/>
  <c r="I555" i="5" s="1"/>
  <c r="D555" i="5"/>
  <c r="J555" i="5" s="1"/>
  <c r="A556" i="5"/>
  <c r="B556" i="5"/>
  <c r="T556" i="5" s="1"/>
  <c r="C556" i="5"/>
  <c r="I556" i="5" s="1"/>
  <c r="D556" i="5"/>
  <c r="G556" i="5" s="1"/>
  <c r="A557" i="5"/>
  <c r="B557" i="5"/>
  <c r="T557" i="5" s="1"/>
  <c r="C557" i="5"/>
  <c r="D557" i="5"/>
  <c r="A558" i="5"/>
  <c r="B558" i="5"/>
  <c r="C558" i="5"/>
  <c r="U558" i="5" s="1"/>
  <c r="D558" i="5"/>
  <c r="S558" i="5" s="1"/>
  <c r="A559" i="5"/>
  <c r="B559" i="5"/>
  <c r="H559" i="5" s="1"/>
  <c r="C559" i="5"/>
  <c r="I559" i="5" s="1"/>
  <c r="D559" i="5"/>
  <c r="J559" i="5" s="1"/>
  <c r="A560" i="5"/>
  <c r="B560" i="5"/>
  <c r="E560" i="5" s="1"/>
  <c r="C560" i="5"/>
  <c r="U560" i="5" s="1"/>
  <c r="D560" i="5"/>
  <c r="V560" i="5" s="1"/>
  <c r="A561" i="5"/>
  <c r="B561" i="5"/>
  <c r="E561" i="5" s="1"/>
  <c r="C561" i="5"/>
  <c r="F561" i="5" s="1"/>
  <c r="D561" i="5"/>
  <c r="S561" i="5" s="1"/>
  <c r="A562" i="5"/>
  <c r="B562" i="5"/>
  <c r="E562" i="5" s="1"/>
  <c r="C562" i="5"/>
  <c r="I562" i="5" s="1"/>
  <c r="D562" i="5"/>
  <c r="G562" i="5" s="1"/>
  <c r="A563" i="5"/>
  <c r="B563" i="5"/>
  <c r="E563" i="5" s="1"/>
  <c r="C563" i="5"/>
  <c r="U563" i="5" s="1"/>
  <c r="D563" i="5"/>
  <c r="V563" i="5" s="1"/>
  <c r="A564" i="5"/>
  <c r="B564" i="5"/>
  <c r="H564" i="5" s="1"/>
  <c r="C564" i="5"/>
  <c r="D564" i="5"/>
  <c r="G564" i="5" s="1"/>
  <c r="A565" i="5"/>
  <c r="B565" i="5"/>
  <c r="N565" i="5" s="1"/>
  <c r="C565" i="5"/>
  <c r="O565" i="5" s="1"/>
  <c r="D565" i="5"/>
  <c r="J565" i="5" s="1"/>
  <c r="A566" i="5"/>
  <c r="B566" i="5"/>
  <c r="T566" i="5" s="1"/>
  <c r="C566" i="5"/>
  <c r="U566" i="5" s="1"/>
  <c r="D566" i="5"/>
  <c r="P566" i="5" s="1"/>
  <c r="A567" i="5"/>
  <c r="B567" i="5"/>
  <c r="E567" i="5" s="1"/>
  <c r="C567" i="5"/>
  <c r="F567" i="5" s="1"/>
  <c r="D567" i="5"/>
  <c r="V567" i="5" s="1"/>
  <c r="A568" i="5"/>
  <c r="B568" i="5"/>
  <c r="K568" i="5" s="1"/>
  <c r="C568" i="5"/>
  <c r="F568" i="5" s="1"/>
  <c r="D568" i="5"/>
  <c r="J568" i="5" s="1"/>
  <c r="A569" i="5"/>
  <c r="B569" i="5"/>
  <c r="Q569" i="5" s="1"/>
  <c r="C569" i="5"/>
  <c r="R569" i="5" s="1"/>
  <c r="D569" i="5"/>
  <c r="J569" i="5" s="1"/>
  <c r="A570" i="5"/>
  <c r="B570" i="5"/>
  <c r="E570" i="5" s="1"/>
  <c r="C570" i="5"/>
  <c r="D570" i="5"/>
  <c r="V570" i="5" s="1"/>
  <c r="A571" i="5"/>
  <c r="B571" i="5"/>
  <c r="E571" i="5" s="1"/>
  <c r="C571" i="5"/>
  <c r="F571" i="5" s="1"/>
  <c r="D571" i="5"/>
  <c r="G571" i="5" s="1"/>
  <c r="A572" i="5"/>
  <c r="B572" i="5"/>
  <c r="K572" i="5" s="1"/>
  <c r="C572" i="5"/>
  <c r="L572" i="5" s="1"/>
  <c r="D572" i="5"/>
  <c r="J572" i="5" s="1"/>
  <c r="A573" i="5"/>
  <c r="B573" i="5"/>
  <c r="Q573" i="5" s="1"/>
  <c r="C573" i="5"/>
  <c r="R573" i="5" s="1"/>
  <c r="D573" i="5"/>
  <c r="P573" i="5" s="1"/>
  <c r="A574" i="5"/>
  <c r="B574" i="5"/>
  <c r="E574" i="5" s="1"/>
  <c r="C574" i="5"/>
  <c r="U574" i="5" s="1"/>
  <c r="D574" i="5"/>
  <c r="V574" i="5" s="1"/>
  <c r="C12" i="5"/>
  <c r="U12" i="5" s="1"/>
  <c r="D12" i="5"/>
  <c r="V12" i="5" s="1"/>
  <c r="B12" i="5"/>
  <c r="T12" i="5" s="1"/>
  <c r="A12" i="5"/>
  <c r="AC3" i="2"/>
  <c r="AB3" i="2"/>
  <c r="D254" i="2"/>
  <c r="D253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0" i="2"/>
  <c r="D229" i="2"/>
  <c r="D228" i="2"/>
  <c r="D227" i="2"/>
  <c r="D226" i="2"/>
  <c r="D225" i="2"/>
  <c r="D224" i="2"/>
  <c r="D223" i="2"/>
  <c r="D222" i="2"/>
  <c r="D221" i="2"/>
  <c r="D217" i="2"/>
  <c r="D216" i="2"/>
  <c r="D215" i="2"/>
  <c r="D214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0" i="2"/>
  <c r="D189" i="2"/>
  <c r="D188" i="2"/>
  <c r="D187" i="2"/>
  <c r="D186" i="2"/>
  <c r="D185" i="2"/>
  <c r="D184" i="2"/>
  <c r="D183" i="2"/>
  <c r="D179" i="2"/>
  <c r="D178" i="2"/>
  <c r="D177" i="2"/>
  <c r="D170" i="2"/>
  <c r="D169" i="2"/>
  <c r="D168" i="2"/>
  <c r="D167" i="2"/>
  <c r="D166" i="2"/>
  <c r="D165" i="2"/>
  <c r="D161" i="2"/>
  <c r="D160" i="2"/>
  <c r="D159" i="2"/>
  <c r="D158" i="2"/>
  <c r="D157" i="2"/>
  <c r="D156" i="2"/>
  <c r="D155" i="2"/>
  <c r="D154" i="2"/>
  <c r="D153" i="2"/>
  <c r="D152" i="2"/>
  <c r="D148" i="2"/>
  <c r="D147" i="2"/>
  <c r="D146" i="2"/>
  <c r="D145" i="2"/>
  <c r="D144" i="2"/>
  <c r="D143" i="2"/>
  <c r="D142" i="2"/>
  <c r="D141" i="2"/>
  <c r="D139" i="2"/>
  <c r="D138" i="2"/>
  <c r="D137" i="2"/>
  <c r="D134" i="2"/>
  <c r="D133" i="2"/>
  <c r="D132" i="2"/>
  <c r="D131" i="2"/>
  <c r="D130" i="2"/>
  <c r="D129" i="2"/>
  <c r="D128" i="2"/>
  <c r="D127" i="2"/>
  <c r="D126" i="2"/>
  <c r="D125" i="2"/>
  <c r="D123" i="2"/>
  <c r="D122" i="2"/>
  <c r="D117" i="2"/>
  <c r="D116" i="2"/>
  <c r="D115" i="2"/>
  <c r="D114" i="2"/>
  <c r="D113" i="2"/>
  <c r="D112" i="2"/>
  <c r="D111" i="2"/>
  <c r="D110" i="2"/>
  <c r="D102" i="2"/>
  <c r="D101" i="2"/>
  <c r="D100" i="2"/>
  <c r="D99" i="2"/>
  <c r="D98" i="2"/>
  <c r="D97" i="2"/>
  <c r="D93" i="2"/>
  <c r="D92" i="2"/>
  <c r="D91" i="2"/>
  <c r="D90" i="2"/>
  <c r="D89" i="2"/>
  <c r="D85" i="2"/>
  <c r="D69" i="2"/>
  <c r="D68" i="2"/>
  <c r="D61" i="2"/>
  <c r="D57" i="2"/>
  <c r="D56" i="2"/>
  <c r="D55" i="2"/>
  <c r="D54" i="2"/>
  <c r="D53" i="2"/>
  <c r="D52" i="2"/>
  <c r="D51" i="2"/>
  <c r="D50" i="2"/>
  <c r="D49" i="2"/>
  <c r="D48" i="2"/>
  <c r="D47" i="2"/>
  <c r="D40" i="2"/>
  <c r="D39" i="2"/>
  <c r="D38" i="2"/>
  <c r="D36" i="2"/>
  <c r="D35" i="2"/>
  <c r="D34" i="2"/>
  <c r="D33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M573" i="5" l="1"/>
  <c r="I549" i="5"/>
  <c r="U529" i="5"/>
  <c r="K513" i="5"/>
  <c r="S496" i="5"/>
  <c r="T465" i="5"/>
  <c r="L573" i="5"/>
  <c r="R563" i="5"/>
  <c r="T529" i="5"/>
  <c r="H513" i="5"/>
  <c r="M496" i="5"/>
  <c r="S465" i="5"/>
  <c r="G573" i="5"/>
  <c r="M563" i="5"/>
  <c r="F549" i="5"/>
  <c r="O529" i="5"/>
  <c r="N465" i="5"/>
  <c r="I572" i="5"/>
  <c r="M562" i="5"/>
  <c r="I548" i="5"/>
  <c r="T512" i="5"/>
  <c r="V493" i="5"/>
  <c r="G572" i="5"/>
  <c r="H562" i="5"/>
  <c r="N546" i="5"/>
  <c r="K527" i="5"/>
  <c r="S510" i="5"/>
  <c r="U493" i="5"/>
  <c r="F572" i="5"/>
  <c r="U561" i="5"/>
  <c r="H544" i="5"/>
  <c r="Q510" i="5"/>
  <c r="P493" i="5"/>
  <c r="T459" i="5"/>
  <c r="S571" i="5"/>
  <c r="Q560" i="5"/>
  <c r="N525" i="5"/>
  <c r="J510" i="5"/>
  <c r="N490" i="5"/>
  <c r="H457" i="5"/>
  <c r="S570" i="5"/>
  <c r="O560" i="5"/>
  <c r="Q543" i="5"/>
  <c r="Q508" i="5"/>
  <c r="M490" i="5"/>
  <c r="M451" i="5"/>
  <c r="M570" i="5"/>
  <c r="N560" i="5"/>
  <c r="H542" i="5"/>
  <c r="U507" i="5"/>
  <c r="T486" i="5"/>
  <c r="I451" i="5"/>
  <c r="O569" i="5"/>
  <c r="I560" i="5"/>
  <c r="F542" i="5"/>
  <c r="M524" i="5"/>
  <c r="T507" i="5"/>
  <c r="H451" i="5"/>
  <c r="M569" i="5"/>
  <c r="E542" i="5"/>
  <c r="V522" i="5"/>
  <c r="O507" i="5"/>
  <c r="J486" i="5"/>
  <c r="L569" i="5"/>
  <c r="U505" i="5"/>
  <c r="S563" i="5"/>
  <c r="F569" i="5"/>
  <c r="K556" i="5"/>
  <c r="H568" i="5"/>
  <c r="U521" i="5"/>
  <c r="R481" i="5"/>
  <c r="E568" i="5"/>
  <c r="H556" i="5"/>
  <c r="J520" i="5"/>
  <c r="S504" i="5"/>
  <c r="G432" i="5"/>
  <c r="Q567" i="5"/>
  <c r="U519" i="5"/>
  <c r="G503" i="5"/>
  <c r="J480" i="5"/>
  <c r="L429" i="5"/>
  <c r="S566" i="5"/>
  <c r="S553" i="5"/>
  <c r="V536" i="5"/>
  <c r="K502" i="5"/>
  <c r="T476" i="5"/>
  <c r="K429" i="5"/>
  <c r="Q566" i="5"/>
  <c r="Q553" i="5"/>
  <c r="U536" i="5"/>
  <c r="R517" i="5"/>
  <c r="J502" i="5"/>
  <c r="R476" i="5"/>
  <c r="O566" i="5"/>
  <c r="P553" i="5"/>
  <c r="P536" i="5"/>
  <c r="Q517" i="5"/>
  <c r="E502" i="5"/>
  <c r="O476" i="5"/>
  <c r="J566" i="5"/>
  <c r="K553" i="5"/>
  <c r="G535" i="5"/>
  <c r="L517" i="5"/>
  <c r="K500" i="5"/>
  <c r="L565" i="5"/>
  <c r="S551" i="5"/>
  <c r="T515" i="5"/>
  <c r="O499" i="5"/>
  <c r="S574" i="5"/>
  <c r="I565" i="5"/>
  <c r="M532" i="5"/>
  <c r="N499" i="5"/>
  <c r="M574" i="5"/>
  <c r="H565" i="5"/>
  <c r="F551" i="5"/>
  <c r="N531" i="5"/>
  <c r="I499" i="5"/>
  <c r="I470" i="5"/>
  <c r="O573" i="5"/>
  <c r="E564" i="5"/>
  <c r="S550" i="5"/>
  <c r="T514" i="5"/>
  <c r="F540" i="5"/>
  <c r="I540" i="5"/>
  <c r="L540" i="5"/>
  <c r="O540" i="5"/>
  <c r="R540" i="5"/>
  <c r="U540" i="5"/>
  <c r="O468" i="5"/>
  <c r="R468" i="5"/>
  <c r="U468" i="5"/>
  <c r="F468" i="5"/>
  <c r="I468" i="5"/>
  <c r="L468" i="5"/>
  <c r="R360" i="5"/>
  <c r="U360" i="5"/>
  <c r="F360" i="5"/>
  <c r="I360" i="5"/>
  <c r="L360" i="5"/>
  <c r="O360" i="5"/>
  <c r="O552" i="5"/>
  <c r="R552" i="5"/>
  <c r="U552" i="5"/>
  <c r="F552" i="5"/>
  <c r="I552" i="5"/>
  <c r="L552" i="5"/>
  <c r="F546" i="5"/>
  <c r="U546" i="5"/>
  <c r="L546" i="5"/>
  <c r="O546" i="5"/>
  <c r="F522" i="5"/>
  <c r="I522" i="5"/>
  <c r="L522" i="5"/>
  <c r="O522" i="5"/>
  <c r="R522" i="5"/>
  <c r="U522" i="5"/>
  <c r="F504" i="5"/>
  <c r="I504" i="5"/>
  <c r="L504" i="5"/>
  <c r="O504" i="5"/>
  <c r="R504" i="5"/>
  <c r="U504" i="5"/>
  <c r="I492" i="5"/>
  <c r="R492" i="5"/>
  <c r="U492" i="5"/>
  <c r="F492" i="5"/>
  <c r="L492" i="5"/>
  <c r="O492" i="5"/>
  <c r="O480" i="5"/>
  <c r="R480" i="5"/>
  <c r="U480" i="5"/>
  <c r="F480" i="5"/>
  <c r="I480" i="5"/>
  <c r="L480" i="5"/>
  <c r="F456" i="5"/>
  <c r="I456" i="5"/>
  <c r="L456" i="5"/>
  <c r="O456" i="5"/>
  <c r="R456" i="5"/>
  <c r="U456" i="5"/>
  <c r="L438" i="5"/>
  <c r="O438" i="5"/>
  <c r="R438" i="5"/>
  <c r="U438" i="5"/>
  <c r="F438" i="5"/>
  <c r="I438" i="5"/>
  <c r="F414" i="5"/>
  <c r="L414" i="5"/>
  <c r="O414" i="5"/>
  <c r="R414" i="5"/>
  <c r="U414" i="5"/>
  <c r="I414" i="5"/>
  <c r="R372" i="5"/>
  <c r="U372" i="5"/>
  <c r="I372" i="5"/>
  <c r="L372" i="5"/>
  <c r="O372" i="5"/>
  <c r="F372" i="5"/>
  <c r="L324" i="5"/>
  <c r="O324" i="5"/>
  <c r="R324" i="5"/>
  <c r="U324" i="5"/>
  <c r="F324" i="5"/>
  <c r="I324" i="5"/>
  <c r="F564" i="5"/>
  <c r="I564" i="5"/>
  <c r="L564" i="5"/>
  <c r="O564" i="5"/>
  <c r="R564" i="5"/>
  <c r="R396" i="5"/>
  <c r="U396" i="5"/>
  <c r="I396" i="5"/>
  <c r="L396" i="5"/>
  <c r="O396" i="5"/>
  <c r="F396" i="5"/>
  <c r="O534" i="5"/>
  <c r="R534" i="5"/>
  <c r="U534" i="5"/>
  <c r="I534" i="5"/>
  <c r="L534" i="5"/>
  <c r="R474" i="5"/>
  <c r="U474" i="5"/>
  <c r="F474" i="5"/>
  <c r="I474" i="5"/>
  <c r="L474" i="5"/>
  <c r="O474" i="5"/>
  <c r="R420" i="5"/>
  <c r="F420" i="5"/>
  <c r="I420" i="5"/>
  <c r="L420" i="5"/>
  <c r="O420" i="5"/>
  <c r="U420" i="5"/>
  <c r="L348" i="5"/>
  <c r="O348" i="5"/>
  <c r="F348" i="5"/>
  <c r="I348" i="5"/>
  <c r="R348" i="5"/>
  <c r="U348" i="5"/>
  <c r="F294" i="5"/>
  <c r="I294" i="5"/>
  <c r="L294" i="5"/>
  <c r="O294" i="5"/>
  <c r="R294" i="5"/>
  <c r="U294" i="5"/>
  <c r="O432" i="5"/>
  <c r="R432" i="5"/>
  <c r="U432" i="5"/>
  <c r="F432" i="5"/>
  <c r="I432" i="5"/>
  <c r="L432" i="5"/>
  <c r="F258" i="5"/>
  <c r="I258" i="5"/>
  <c r="L258" i="5"/>
  <c r="O258" i="5"/>
  <c r="R258" i="5"/>
  <c r="U258" i="5"/>
  <c r="F570" i="5"/>
  <c r="I570" i="5"/>
  <c r="L570" i="5"/>
  <c r="O570" i="5"/>
  <c r="R570" i="5"/>
  <c r="L264" i="5"/>
  <c r="O264" i="5"/>
  <c r="R264" i="5"/>
  <c r="U264" i="5"/>
  <c r="F264" i="5"/>
  <c r="I264" i="5"/>
  <c r="U564" i="5"/>
  <c r="U528" i="5"/>
  <c r="F528" i="5"/>
  <c r="I528" i="5"/>
  <c r="L528" i="5"/>
  <c r="O528" i="5"/>
  <c r="R528" i="5"/>
  <c r="F378" i="5"/>
  <c r="I378" i="5"/>
  <c r="L378" i="5"/>
  <c r="O378" i="5"/>
  <c r="R378" i="5"/>
  <c r="U378" i="5"/>
  <c r="L336" i="5"/>
  <c r="O336" i="5"/>
  <c r="U336" i="5"/>
  <c r="I336" i="5"/>
  <c r="R336" i="5"/>
  <c r="F336" i="5"/>
  <c r="F534" i="5"/>
  <c r="F306" i="5"/>
  <c r="I306" i="5"/>
  <c r="L306" i="5"/>
  <c r="O306" i="5"/>
  <c r="R306" i="5"/>
  <c r="U306" i="5"/>
  <c r="L288" i="5"/>
  <c r="O288" i="5"/>
  <c r="R288" i="5"/>
  <c r="U288" i="5"/>
  <c r="F288" i="5"/>
  <c r="I288" i="5"/>
  <c r="L276" i="5"/>
  <c r="O276" i="5"/>
  <c r="R276" i="5"/>
  <c r="U276" i="5"/>
  <c r="F276" i="5"/>
  <c r="I276" i="5"/>
  <c r="L240" i="5"/>
  <c r="O240" i="5"/>
  <c r="R240" i="5"/>
  <c r="U240" i="5"/>
  <c r="F240" i="5"/>
  <c r="I240" i="5"/>
  <c r="I568" i="5"/>
  <c r="L568" i="5"/>
  <c r="O568" i="5"/>
  <c r="R568" i="5"/>
  <c r="U568" i="5"/>
  <c r="R538" i="5"/>
  <c r="U538" i="5"/>
  <c r="F538" i="5"/>
  <c r="I538" i="5"/>
  <c r="L538" i="5"/>
  <c r="F514" i="5"/>
  <c r="I514" i="5"/>
  <c r="L514" i="5"/>
  <c r="O514" i="5"/>
  <c r="R514" i="5"/>
  <c r="U514" i="5"/>
  <c r="U490" i="5"/>
  <c r="I490" i="5"/>
  <c r="F490" i="5"/>
  <c r="L490" i="5"/>
  <c r="O490" i="5"/>
  <c r="F466" i="5"/>
  <c r="I466" i="5"/>
  <c r="L466" i="5"/>
  <c r="O466" i="5"/>
  <c r="R466" i="5"/>
  <c r="U466" i="5"/>
  <c r="R442" i="5"/>
  <c r="U442" i="5"/>
  <c r="F442" i="5"/>
  <c r="O442" i="5"/>
  <c r="L442" i="5"/>
  <c r="F418" i="5"/>
  <c r="I418" i="5"/>
  <c r="L418" i="5"/>
  <c r="O418" i="5"/>
  <c r="U418" i="5"/>
  <c r="R418" i="5"/>
  <c r="R400" i="5"/>
  <c r="F400" i="5"/>
  <c r="I400" i="5"/>
  <c r="L400" i="5"/>
  <c r="O400" i="5"/>
  <c r="U400" i="5"/>
  <c r="F382" i="5"/>
  <c r="I382" i="5"/>
  <c r="L382" i="5"/>
  <c r="O382" i="5"/>
  <c r="R382" i="5"/>
  <c r="U382" i="5"/>
  <c r="F358" i="5"/>
  <c r="I358" i="5"/>
  <c r="L358" i="5"/>
  <c r="O358" i="5"/>
  <c r="R358" i="5"/>
  <c r="U358" i="5"/>
  <c r="I334" i="5"/>
  <c r="F334" i="5"/>
  <c r="L334" i="5"/>
  <c r="O334" i="5"/>
  <c r="R334" i="5"/>
  <c r="U334" i="5"/>
  <c r="L304" i="5"/>
  <c r="O304" i="5"/>
  <c r="R304" i="5"/>
  <c r="U304" i="5"/>
  <c r="I304" i="5"/>
  <c r="F304" i="5"/>
  <c r="F286" i="5"/>
  <c r="I286" i="5"/>
  <c r="L286" i="5"/>
  <c r="O286" i="5"/>
  <c r="R286" i="5"/>
  <c r="U286" i="5"/>
  <c r="L268" i="5"/>
  <c r="O268" i="5"/>
  <c r="R268" i="5"/>
  <c r="U268" i="5"/>
  <c r="F268" i="5"/>
  <c r="I268" i="5"/>
  <c r="F250" i="5"/>
  <c r="I250" i="5"/>
  <c r="L250" i="5"/>
  <c r="O250" i="5"/>
  <c r="R250" i="5"/>
  <c r="U250" i="5"/>
  <c r="R556" i="5"/>
  <c r="U556" i="5"/>
  <c r="L556" i="5"/>
  <c r="O556" i="5"/>
  <c r="F556" i="5"/>
  <c r="F532" i="5"/>
  <c r="I532" i="5"/>
  <c r="R532" i="5"/>
  <c r="U532" i="5"/>
  <c r="L532" i="5"/>
  <c r="O502" i="5"/>
  <c r="R502" i="5"/>
  <c r="U502" i="5"/>
  <c r="F502" i="5"/>
  <c r="I502" i="5"/>
  <c r="L502" i="5"/>
  <c r="F472" i="5"/>
  <c r="U472" i="5"/>
  <c r="L472" i="5"/>
  <c r="O472" i="5"/>
  <c r="R472" i="5"/>
  <c r="I472" i="5"/>
  <c r="O448" i="5"/>
  <c r="R448" i="5"/>
  <c r="U448" i="5"/>
  <c r="F448" i="5"/>
  <c r="I448" i="5"/>
  <c r="L448" i="5"/>
  <c r="R424" i="5"/>
  <c r="F424" i="5"/>
  <c r="I424" i="5"/>
  <c r="L424" i="5"/>
  <c r="O424" i="5"/>
  <c r="U424" i="5"/>
  <c r="F394" i="5"/>
  <c r="I394" i="5"/>
  <c r="O394" i="5"/>
  <c r="R394" i="5"/>
  <c r="U394" i="5"/>
  <c r="L394" i="5"/>
  <c r="F370" i="5"/>
  <c r="I370" i="5"/>
  <c r="L370" i="5"/>
  <c r="O370" i="5"/>
  <c r="R370" i="5"/>
  <c r="U370" i="5"/>
  <c r="U346" i="5"/>
  <c r="F346" i="5"/>
  <c r="I346" i="5"/>
  <c r="L346" i="5"/>
  <c r="O346" i="5"/>
  <c r="R346" i="5"/>
  <c r="F322" i="5"/>
  <c r="I322" i="5"/>
  <c r="L322" i="5"/>
  <c r="O322" i="5"/>
  <c r="R322" i="5"/>
  <c r="U322" i="5"/>
  <c r="L292" i="5"/>
  <c r="O292" i="5"/>
  <c r="R292" i="5"/>
  <c r="U292" i="5"/>
  <c r="F292" i="5"/>
  <c r="I292" i="5"/>
  <c r="L256" i="5"/>
  <c r="O256" i="5"/>
  <c r="R256" i="5"/>
  <c r="U256" i="5"/>
  <c r="F256" i="5"/>
  <c r="I256" i="5"/>
  <c r="F574" i="5"/>
  <c r="I574" i="5"/>
  <c r="L574" i="5"/>
  <c r="O574" i="5"/>
  <c r="R574" i="5"/>
  <c r="F550" i="5"/>
  <c r="I550" i="5"/>
  <c r="L550" i="5"/>
  <c r="O550" i="5"/>
  <c r="R550" i="5"/>
  <c r="U550" i="5"/>
  <c r="I526" i="5"/>
  <c r="L526" i="5"/>
  <c r="O526" i="5"/>
  <c r="F526" i="5"/>
  <c r="R526" i="5"/>
  <c r="U526" i="5"/>
  <c r="F508" i="5"/>
  <c r="I508" i="5"/>
  <c r="L508" i="5"/>
  <c r="O508" i="5"/>
  <c r="R508" i="5"/>
  <c r="U508" i="5"/>
  <c r="U484" i="5"/>
  <c r="I484" i="5"/>
  <c r="F484" i="5"/>
  <c r="L484" i="5"/>
  <c r="O484" i="5"/>
  <c r="R484" i="5"/>
  <c r="I460" i="5"/>
  <c r="L460" i="5"/>
  <c r="O460" i="5"/>
  <c r="R460" i="5"/>
  <c r="U460" i="5"/>
  <c r="F460" i="5"/>
  <c r="F436" i="5"/>
  <c r="L436" i="5"/>
  <c r="O436" i="5"/>
  <c r="R436" i="5"/>
  <c r="U436" i="5"/>
  <c r="I436" i="5"/>
  <c r="R412" i="5"/>
  <c r="L412" i="5"/>
  <c r="O412" i="5"/>
  <c r="U412" i="5"/>
  <c r="F412" i="5"/>
  <c r="I412" i="5"/>
  <c r="R388" i="5"/>
  <c r="U388" i="5"/>
  <c r="L388" i="5"/>
  <c r="O388" i="5"/>
  <c r="F388" i="5"/>
  <c r="I388" i="5"/>
  <c r="R364" i="5"/>
  <c r="U364" i="5"/>
  <c r="F364" i="5"/>
  <c r="I364" i="5"/>
  <c r="L364" i="5"/>
  <c r="O364" i="5"/>
  <c r="L340" i="5"/>
  <c r="O340" i="5"/>
  <c r="F340" i="5"/>
  <c r="I340" i="5"/>
  <c r="R340" i="5"/>
  <c r="U340" i="5"/>
  <c r="L328" i="5"/>
  <c r="O328" i="5"/>
  <c r="R328" i="5"/>
  <c r="U328" i="5"/>
  <c r="I328" i="5"/>
  <c r="F328" i="5"/>
  <c r="F310" i="5"/>
  <c r="I310" i="5"/>
  <c r="L310" i="5"/>
  <c r="O310" i="5"/>
  <c r="R310" i="5"/>
  <c r="U310" i="5"/>
  <c r="F298" i="5"/>
  <c r="I298" i="5"/>
  <c r="L298" i="5"/>
  <c r="O298" i="5"/>
  <c r="R298" i="5"/>
  <c r="U298" i="5"/>
  <c r="F274" i="5"/>
  <c r="I274" i="5"/>
  <c r="L274" i="5"/>
  <c r="O274" i="5"/>
  <c r="R274" i="5"/>
  <c r="U274" i="5"/>
  <c r="F262" i="5"/>
  <c r="I262" i="5"/>
  <c r="L262" i="5"/>
  <c r="O262" i="5"/>
  <c r="R262" i="5"/>
  <c r="U262" i="5"/>
  <c r="L244" i="5"/>
  <c r="O244" i="5"/>
  <c r="R244" i="5"/>
  <c r="U244" i="5"/>
  <c r="F244" i="5"/>
  <c r="I244" i="5"/>
  <c r="U570" i="5"/>
  <c r="I558" i="5"/>
  <c r="L558" i="5"/>
  <c r="O558" i="5"/>
  <c r="F558" i="5"/>
  <c r="R558" i="5"/>
  <c r="L516" i="5"/>
  <c r="O516" i="5"/>
  <c r="R516" i="5"/>
  <c r="U516" i="5"/>
  <c r="F516" i="5"/>
  <c r="I516" i="5"/>
  <c r="L498" i="5"/>
  <c r="O498" i="5"/>
  <c r="R498" i="5"/>
  <c r="U498" i="5"/>
  <c r="F498" i="5"/>
  <c r="I498" i="5"/>
  <c r="L486" i="5"/>
  <c r="O486" i="5"/>
  <c r="R486" i="5"/>
  <c r="F486" i="5"/>
  <c r="U486" i="5"/>
  <c r="I486" i="5"/>
  <c r="F462" i="5"/>
  <c r="I462" i="5"/>
  <c r="L462" i="5"/>
  <c r="O462" i="5"/>
  <c r="R462" i="5"/>
  <c r="U462" i="5"/>
  <c r="I444" i="5"/>
  <c r="L444" i="5"/>
  <c r="O444" i="5"/>
  <c r="R444" i="5"/>
  <c r="U444" i="5"/>
  <c r="F444" i="5"/>
  <c r="F426" i="5"/>
  <c r="R426" i="5"/>
  <c r="U426" i="5"/>
  <c r="L426" i="5"/>
  <c r="O426" i="5"/>
  <c r="I426" i="5"/>
  <c r="R408" i="5"/>
  <c r="F408" i="5"/>
  <c r="I408" i="5"/>
  <c r="L408" i="5"/>
  <c r="U408" i="5"/>
  <c r="O408" i="5"/>
  <c r="R384" i="5"/>
  <c r="U384" i="5"/>
  <c r="F384" i="5"/>
  <c r="I384" i="5"/>
  <c r="L384" i="5"/>
  <c r="O384" i="5"/>
  <c r="F366" i="5"/>
  <c r="I366" i="5"/>
  <c r="L366" i="5"/>
  <c r="O366" i="5"/>
  <c r="R366" i="5"/>
  <c r="U366" i="5"/>
  <c r="F354" i="5"/>
  <c r="I354" i="5"/>
  <c r="L354" i="5"/>
  <c r="O354" i="5"/>
  <c r="R354" i="5"/>
  <c r="U354" i="5"/>
  <c r="U342" i="5"/>
  <c r="F342" i="5"/>
  <c r="I342" i="5"/>
  <c r="L342" i="5"/>
  <c r="O342" i="5"/>
  <c r="R342" i="5"/>
  <c r="F318" i="5"/>
  <c r="I318" i="5"/>
  <c r="L318" i="5"/>
  <c r="R318" i="5"/>
  <c r="U318" i="5"/>
  <c r="O318" i="5"/>
  <c r="L312" i="5"/>
  <c r="O312" i="5"/>
  <c r="R312" i="5"/>
  <c r="U312" i="5"/>
  <c r="F312" i="5"/>
  <c r="I312" i="5"/>
  <c r="L300" i="5"/>
  <c r="O300" i="5"/>
  <c r="R300" i="5"/>
  <c r="U300" i="5"/>
  <c r="I300" i="5"/>
  <c r="F300" i="5"/>
  <c r="F282" i="5"/>
  <c r="I282" i="5"/>
  <c r="L282" i="5"/>
  <c r="O282" i="5"/>
  <c r="R282" i="5"/>
  <c r="U282" i="5"/>
  <c r="F270" i="5"/>
  <c r="I270" i="5"/>
  <c r="L270" i="5"/>
  <c r="O270" i="5"/>
  <c r="R270" i="5"/>
  <c r="U270" i="5"/>
  <c r="F246" i="5"/>
  <c r="I246" i="5"/>
  <c r="L246" i="5"/>
  <c r="O246" i="5"/>
  <c r="R246" i="5"/>
  <c r="U246" i="5"/>
  <c r="O562" i="5"/>
  <c r="R562" i="5"/>
  <c r="U562" i="5"/>
  <c r="F562" i="5"/>
  <c r="L562" i="5"/>
  <c r="I544" i="5"/>
  <c r="L544" i="5"/>
  <c r="O544" i="5"/>
  <c r="R544" i="5"/>
  <c r="U544" i="5"/>
  <c r="F544" i="5"/>
  <c r="O520" i="5"/>
  <c r="R520" i="5"/>
  <c r="U520" i="5"/>
  <c r="F520" i="5"/>
  <c r="I520" i="5"/>
  <c r="U496" i="5"/>
  <c r="F496" i="5"/>
  <c r="I496" i="5"/>
  <c r="L496" i="5"/>
  <c r="O496" i="5"/>
  <c r="R496" i="5"/>
  <c r="F478" i="5"/>
  <c r="U478" i="5"/>
  <c r="I478" i="5"/>
  <c r="L478" i="5"/>
  <c r="O478" i="5"/>
  <c r="R478" i="5"/>
  <c r="L454" i="5"/>
  <c r="O454" i="5"/>
  <c r="R454" i="5"/>
  <c r="U454" i="5"/>
  <c r="F454" i="5"/>
  <c r="I454" i="5"/>
  <c r="F430" i="5"/>
  <c r="I430" i="5"/>
  <c r="L430" i="5"/>
  <c r="O430" i="5"/>
  <c r="R430" i="5"/>
  <c r="U430" i="5"/>
  <c r="F406" i="5"/>
  <c r="I406" i="5"/>
  <c r="L406" i="5"/>
  <c r="O406" i="5"/>
  <c r="R406" i="5"/>
  <c r="U406" i="5"/>
  <c r="R376" i="5"/>
  <c r="U376" i="5"/>
  <c r="F376" i="5"/>
  <c r="I376" i="5"/>
  <c r="L376" i="5"/>
  <c r="O376" i="5"/>
  <c r="R352" i="5"/>
  <c r="U352" i="5"/>
  <c r="F352" i="5"/>
  <c r="I352" i="5"/>
  <c r="L352" i="5"/>
  <c r="O352" i="5"/>
  <c r="L316" i="5"/>
  <c r="O316" i="5"/>
  <c r="R316" i="5"/>
  <c r="U316" i="5"/>
  <c r="F316" i="5"/>
  <c r="I316" i="5"/>
  <c r="L280" i="5"/>
  <c r="O280" i="5"/>
  <c r="R280" i="5"/>
  <c r="U280" i="5"/>
  <c r="F280" i="5"/>
  <c r="I280" i="5"/>
  <c r="R546" i="5"/>
  <c r="U510" i="5"/>
  <c r="F510" i="5"/>
  <c r="I510" i="5"/>
  <c r="L510" i="5"/>
  <c r="O510" i="5"/>
  <c r="R510" i="5"/>
  <c r="F450" i="5"/>
  <c r="I450" i="5"/>
  <c r="L450" i="5"/>
  <c r="O450" i="5"/>
  <c r="R450" i="5"/>
  <c r="U450" i="5"/>
  <c r="F390" i="5"/>
  <c r="I390" i="5"/>
  <c r="R390" i="5"/>
  <c r="U390" i="5"/>
  <c r="L390" i="5"/>
  <c r="O390" i="5"/>
  <c r="F330" i="5"/>
  <c r="I330" i="5"/>
  <c r="L330" i="5"/>
  <c r="O330" i="5"/>
  <c r="R330" i="5"/>
  <c r="U330" i="5"/>
  <c r="L252" i="5"/>
  <c r="O252" i="5"/>
  <c r="R252" i="5"/>
  <c r="U252" i="5"/>
  <c r="F252" i="5"/>
  <c r="I252" i="5"/>
  <c r="F402" i="5"/>
  <c r="I402" i="5"/>
  <c r="L402" i="5"/>
  <c r="O402" i="5"/>
  <c r="R402" i="5"/>
  <c r="U402" i="5"/>
  <c r="I546" i="5"/>
  <c r="H558" i="5"/>
  <c r="K558" i="5"/>
  <c r="N558" i="5"/>
  <c r="Q558" i="5"/>
  <c r="Q552" i="5"/>
  <c r="T552" i="5"/>
  <c r="H540" i="5"/>
  <c r="K540" i="5"/>
  <c r="N540" i="5"/>
  <c r="N534" i="5"/>
  <c r="Q534" i="5"/>
  <c r="T534" i="5"/>
  <c r="E522" i="5"/>
  <c r="H522" i="5"/>
  <c r="K522" i="5"/>
  <c r="N516" i="5"/>
  <c r="Q516" i="5"/>
  <c r="T516" i="5"/>
  <c r="E504" i="5"/>
  <c r="H504" i="5"/>
  <c r="K504" i="5"/>
  <c r="K498" i="5"/>
  <c r="N498" i="5"/>
  <c r="Q498" i="5"/>
  <c r="T498" i="5"/>
  <c r="E492" i="5"/>
  <c r="H492" i="5"/>
  <c r="T492" i="5"/>
  <c r="E486" i="5"/>
  <c r="N486" i="5"/>
  <c r="Q486" i="5"/>
  <c r="H486" i="5"/>
  <c r="Q480" i="5"/>
  <c r="N480" i="5"/>
  <c r="T480" i="5"/>
  <c r="E474" i="5"/>
  <c r="T474" i="5"/>
  <c r="Q474" i="5"/>
  <c r="Q468" i="5"/>
  <c r="N468" i="5"/>
  <c r="T468" i="5"/>
  <c r="E468" i="5"/>
  <c r="E462" i="5"/>
  <c r="H462" i="5"/>
  <c r="K462" i="5"/>
  <c r="N462" i="5"/>
  <c r="Q462" i="5"/>
  <c r="Q456" i="5"/>
  <c r="E456" i="5"/>
  <c r="H456" i="5"/>
  <c r="K456" i="5"/>
  <c r="N456" i="5"/>
  <c r="T456" i="5"/>
  <c r="E450" i="5"/>
  <c r="H450" i="5"/>
  <c r="K450" i="5"/>
  <c r="N450" i="5"/>
  <c r="Q450" i="5"/>
  <c r="T450" i="5"/>
  <c r="Q444" i="5"/>
  <c r="H444" i="5"/>
  <c r="K444" i="5"/>
  <c r="N444" i="5"/>
  <c r="T444" i="5"/>
  <c r="E444" i="5"/>
  <c r="E438" i="5"/>
  <c r="N438" i="5"/>
  <c r="Q438" i="5"/>
  <c r="T438" i="5"/>
  <c r="H438" i="5"/>
  <c r="Q432" i="5"/>
  <c r="N432" i="5"/>
  <c r="T432" i="5"/>
  <c r="E432" i="5"/>
  <c r="E426" i="5"/>
  <c r="H426" i="5"/>
  <c r="Q426" i="5"/>
  <c r="T426" i="5"/>
  <c r="N426" i="5"/>
  <c r="Q420" i="5"/>
  <c r="T420" i="5"/>
  <c r="E420" i="5"/>
  <c r="H420" i="5"/>
  <c r="K420" i="5"/>
  <c r="N420" i="5"/>
  <c r="E414" i="5"/>
  <c r="H414" i="5"/>
  <c r="K414" i="5"/>
  <c r="N414" i="5"/>
  <c r="Q414" i="5"/>
  <c r="T414" i="5"/>
  <c r="Q408" i="5"/>
  <c r="T408" i="5"/>
  <c r="E408" i="5"/>
  <c r="H408" i="5"/>
  <c r="K408" i="5"/>
  <c r="E402" i="5"/>
  <c r="H402" i="5"/>
  <c r="K402" i="5"/>
  <c r="N402" i="5"/>
  <c r="Q402" i="5"/>
  <c r="T402" i="5"/>
  <c r="Q396" i="5"/>
  <c r="T396" i="5"/>
  <c r="K396" i="5"/>
  <c r="N396" i="5"/>
  <c r="E396" i="5"/>
  <c r="E390" i="5"/>
  <c r="H390" i="5"/>
  <c r="K390" i="5"/>
  <c r="Q390" i="5"/>
  <c r="T390" i="5"/>
  <c r="Q384" i="5"/>
  <c r="T384" i="5"/>
  <c r="E384" i="5"/>
  <c r="H384" i="5"/>
  <c r="K384" i="5"/>
  <c r="N384" i="5"/>
  <c r="E378" i="5"/>
  <c r="H378" i="5"/>
  <c r="K378" i="5"/>
  <c r="N378" i="5"/>
  <c r="Q378" i="5"/>
  <c r="T378" i="5"/>
  <c r="Q372" i="5"/>
  <c r="T372" i="5"/>
  <c r="E372" i="5"/>
  <c r="H372" i="5"/>
  <c r="K372" i="5"/>
  <c r="N372" i="5"/>
  <c r="E366" i="5"/>
  <c r="H366" i="5"/>
  <c r="K366" i="5"/>
  <c r="N366" i="5"/>
  <c r="Q366" i="5"/>
  <c r="T366" i="5"/>
  <c r="Q360" i="5"/>
  <c r="T360" i="5"/>
  <c r="E360" i="5"/>
  <c r="H360" i="5"/>
  <c r="K360" i="5"/>
  <c r="N360" i="5"/>
  <c r="E354" i="5"/>
  <c r="H354" i="5"/>
  <c r="K354" i="5"/>
  <c r="N354" i="5"/>
  <c r="Q354" i="5"/>
  <c r="T354" i="5"/>
  <c r="K348" i="5"/>
  <c r="N348" i="5"/>
  <c r="Q348" i="5"/>
  <c r="E348" i="5"/>
  <c r="H348" i="5"/>
  <c r="T348" i="5"/>
  <c r="E342" i="5"/>
  <c r="T342" i="5"/>
  <c r="H342" i="5"/>
  <c r="K342" i="5"/>
  <c r="N342" i="5"/>
  <c r="Q342" i="5"/>
  <c r="K336" i="5"/>
  <c r="N336" i="5"/>
  <c r="Q336" i="5"/>
  <c r="T336" i="5"/>
  <c r="H336" i="5"/>
  <c r="E330" i="5"/>
  <c r="H330" i="5"/>
  <c r="K330" i="5"/>
  <c r="N330" i="5"/>
  <c r="Q330" i="5"/>
  <c r="T330" i="5"/>
  <c r="K324" i="5"/>
  <c r="N324" i="5"/>
  <c r="Q324" i="5"/>
  <c r="T324" i="5"/>
  <c r="E324" i="5"/>
  <c r="H324" i="5"/>
  <c r="E318" i="5"/>
  <c r="H318" i="5"/>
  <c r="K318" i="5"/>
  <c r="Q318" i="5"/>
  <c r="T318" i="5"/>
  <c r="N318" i="5"/>
  <c r="K312" i="5"/>
  <c r="N312" i="5"/>
  <c r="Q312" i="5"/>
  <c r="T312" i="5"/>
  <c r="E312" i="5"/>
  <c r="H312" i="5"/>
  <c r="E306" i="5"/>
  <c r="H306" i="5"/>
  <c r="K306" i="5"/>
  <c r="N306" i="5"/>
  <c r="Q306" i="5"/>
  <c r="T306" i="5"/>
  <c r="K300" i="5"/>
  <c r="N300" i="5"/>
  <c r="Q300" i="5"/>
  <c r="T300" i="5"/>
  <c r="E300" i="5"/>
  <c r="H300" i="5"/>
  <c r="E294" i="5"/>
  <c r="H294" i="5"/>
  <c r="K294" i="5"/>
  <c r="N294" i="5"/>
  <c r="Q294" i="5"/>
  <c r="T294" i="5"/>
  <c r="K288" i="5"/>
  <c r="N288" i="5"/>
  <c r="Q288" i="5"/>
  <c r="T288" i="5"/>
  <c r="E288" i="5"/>
  <c r="H288" i="5"/>
  <c r="E282" i="5"/>
  <c r="H282" i="5"/>
  <c r="K282" i="5"/>
  <c r="N282" i="5"/>
  <c r="Q282" i="5"/>
  <c r="T282" i="5"/>
  <c r="K276" i="5"/>
  <c r="N276" i="5"/>
  <c r="Q276" i="5"/>
  <c r="T276" i="5"/>
  <c r="E276" i="5"/>
  <c r="H276" i="5"/>
  <c r="E270" i="5"/>
  <c r="H270" i="5"/>
  <c r="K270" i="5"/>
  <c r="N270" i="5"/>
  <c r="Q270" i="5"/>
  <c r="T270" i="5"/>
  <c r="K264" i="5"/>
  <c r="N264" i="5"/>
  <c r="Q264" i="5"/>
  <c r="T264" i="5"/>
  <c r="E264" i="5"/>
  <c r="H264" i="5"/>
  <c r="E258" i="5"/>
  <c r="H258" i="5"/>
  <c r="K258" i="5"/>
  <c r="N258" i="5"/>
  <c r="Q258" i="5"/>
  <c r="T258" i="5"/>
  <c r="K252" i="5"/>
  <c r="N252" i="5"/>
  <c r="Q252" i="5"/>
  <c r="T252" i="5"/>
  <c r="E252" i="5"/>
  <c r="H252" i="5"/>
  <c r="E246" i="5"/>
  <c r="H246" i="5"/>
  <c r="K246" i="5"/>
  <c r="N246" i="5"/>
  <c r="Q246" i="5"/>
  <c r="T246" i="5"/>
  <c r="K240" i="5"/>
  <c r="N240" i="5"/>
  <c r="Q240" i="5"/>
  <c r="T240" i="5"/>
  <c r="E240" i="5"/>
  <c r="H240" i="5"/>
  <c r="T574" i="5"/>
  <c r="N573" i="5"/>
  <c r="H572" i="5"/>
  <c r="T570" i="5"/>
  <c r="N569" i="5"/>
  <c r="G568" i="5"/>
  <c r="R566" i="5"/>
  <c r="K565" i="5"/>
  <c r="T563" i="5"/>
  <c r="P560" i="5"/>
  <c r="T558" i="5"/>
  <c r="J556" i="5"/>
  <c r="R553" i="5"/>
  <c r="H549" i="5"/>
  <c r="Q546" i="5"/>
  <c r="G542" i="5"/>
  <c r="O539" i="5"/>
  <c r="F535" i="5"/>
  <c r="N532" i="5"/>
  <c r="V529" i="5"/>
  <c r="K520" i="5"/>
  <c r="I513" i="5"/>
  <c r="H505" i="5"/>
  <c r="P499" i="5"/>
  <c r="T496" i="5"/>
  <c r="S486" i="5"/>
  <c r="T481" i="5"/>
  <c r="S476" i="5"/>
  <c r="U465" i="5"/>
  <c r="L451" i="5"/>
  <c r="M429" i="5"/>
  <c r="J557" i="5"/>
  <c r="G557" i="5"/>
  <c r="V539" i="5"/>
  <c r="G539" i="5"/>
  <c r="V527" i="5"/>
  <c r="P527" i="5"/>
  <c r="S527" i="5"/>
  <c r="V515" i="5"/>
  <c r="G515" i="5"/>
  <c r="J515" i="5"/>
  <c r="M515" i="5"/>
  <c r="J509" i="5"/>
  <c r="M509" i="5"/>
  <c r="P509" i="5"/>
  <c r="S509" i="5"/>
  <c r="V509" i="5"/>
  <c r="J497" i="5"/>
  <c r="G497" i="5"/>
  <c r="M497" i="5"/>
  <c r="P497" i="5"/>
  <c r="V485" i="5"/>
  <c r="G485" i="5"/>
  <c r="J485" i="5"/>
  <c r="M485" i="5"/>
  <c r="P485" i="5"/>
  <c r="S485" i="5"/>
  <c r="V473" i="5"/>
  <c r="J473" i="5"/>
  <c r="M473" i="5"/>
  <c r="P473" i="5"/>
  <c r="G473" i="5"/>
  <c r="V461" i="5"/>
  <c r="P461" i="5"/>
  <c r="S461" i="5"/>
  <c r="G461" i="5"/>
  <c r="J461" i="5"/>
  <c r="M461" i="5"/>
  <c r="V449" i="5"/>
  <c r="G449" i="5"/>
  <c r="J449" i="5"/>
  <c r="M449" i="5"/>
  <c r="P449" i="5"/>
  <c r="S449" i="5"/>
  <c r="V437" i="5"/>
  <c r="G437" i="5"/>
  <c r="J437" i="5"/>
  <c r="M437" i="5"/>
  <c r="P437" i="5"/>
  <c r="S437" i="5"/>
  <c r="J419" i="5"/>
  <c r="M419" i="5"/>
  <c r="P419" i="5"/>
  <c r="S419" i="5"/>
  <c r="V419" i="5"/>
  <c r="G419" i="5"/>
  <c r="J407" i="5"/>
  <c r="M407" i="5"/>
  <c r="G407" i="5"/>
  <c r="P407" i="5"/>
  <c r="S407" i="5"/>
  <c r="V407" i="5"/>
  <c r="J395" i="5"/>
  <c r="M395" i="5"/>
  <c r="G395" i="5"/>
  <c r="P395" i="5"/>
  <c r="S395" i="5"/>
  <c r="V395" i="5"/>
  <c r="J383" i="5"/>
  <c r="M383" i="5"/>
  <c r="P383" i="5"/>
  <c r="S383" i="5"/>
  <c r="V383" i="5"/>
  <c r="G383" i="5"/>
  <c r="J371" i="5"/>
  <c r="M371" i="5"/>
  <c r="P371" i="5"/>
  <c r="S371" i="5"/>
  <c r="V371" i="5"/>
  <c r="G371" i="5"/>
  <c r="J359" i="5"/>
  <c r="M359" i="5"/>
  <c r="P359" i="5"/>
  <c r="S359" i="5"/>
  <c r="V359" i="5"/>
  <c r="G359" i="5"/>
  <c r="G347" i="5"/>
  <c r="J347" i="5"/>
  <c r="M347" i="5"/>
  <c r="P347" i="5"/>
  <c r="S347" i="5"/>
  <c r="V347" i="5"/>
  <c r="G335" i="5"/>
  <c r="J335" i="5"/>
  <c r="M335" i="5"/>
  <c r="P335" i="5"/>
  <c r="S335" i="5"/>
  <c r="V335" i="5"/>
  <c r="G323" i="5"/>
  <c r="J323" i="5"/>
  <c r="M323" i="5"/>
  <c r="P323" i="5"/>
  <c r="S323" i="5"/>
  <c r="V323" i="5"/>
  <c r="G311" i="5"/>
  <c r="J311" i="5"/>
  <c r="M311" i="5"/>
  <c r="P311" i="5"/>
  <c r="S311" i="5"/>
  <c r="V311" i="5"/>
  <c r="G299" i="5"/>
  <c r="J299" i="5"/>
  <c r="M299" i="5"/>
  <c r="P299" i="5"/>
  <c r="S299" i="5"/>
  <c r="V299" i="5"/>
  <c r="G287" i="5"/>
  <c r="J287" i="5"/>
  <c r="M287" i="5"/>
  <c r="P287" i="5"/>
  <c r="S287" i="5"/>
  <c r="V287" i="5"/>
  <c r="G275" i="5"/>
  <c r="J275" i="5"/>
  <c r="M275" i="5"/>
  <c r="P275" i="5"/>
  <c r="S275" i="5"/>
  <c r="V275" i="5"/>
  <c r="S257" i="5"/>
  <c r="V257" i="5"/>
  <c r="G257" i="5"/>
  <c r="J257" i="5"/>
  <c r="M257" i="5"/>
  <c r="P257" i="5"/>
  <c r="S245" i="5"/>
  <c r="V245" i="5"/>
  <c r="G245" i="5"/>
  <c r="J245" i="5"/>
  <c r="M245" i="5"/>
  <c r="P245" i="5"/>
  <c r="M539" i="5"/>
  <c r="F557" i="5"/>
  <c r="I557" i="5"/>
  <c r="I551" i="5"/>
  <c r="L551" i="5"/>
  <c r="O551" i="5"/>
  <c r="R545" i="5"/>
  <c r="U545" i="5"/>
  <c r="F533" i="5"/>
  <c r="I533" i="5"/>
  <c r="L533" i="5"/>
  <c r="O533" i="5"/>
  <c r="O527" i="5"/>
  <c r="R527" i="5"/>
  <c r="U527" i="5"/>
  <c r="F515" i="5"/>
  <c r="I515" i="5"/>
  <c r="L515" i="5"/>
  <c r="O509" i="5"/>
  <c r="R509" i="5"/>
  <c r="U509" i="5"/>
  <c r="U503" i="5"/>
  <c r="F503" i="5"/>
  <c r="F497" i="5"/>
  <c r="I497" i="5"/>
  <c r="L497" i="5"/>
  <c r="I491" i="5"/>
  <c r="L491" i="5"/>
  <c r="O491" i="5"/>
  <c r="U491" i="5"/>
  <c r="F485" i="5"/>
  <c r="I485" i="5"/>
  <c r="L485" i="5"/>
  <c r="O485" i="5"/>
  <c r="R485" i="5"/>
  <c r="F479" i="5"/>
  <c r="I479" i="5"/>
  <c r="L479" i="5"/>
  <c r="O479" i="5"/>
  <c r="R479" i="5"/>
  <c r="L473" i="5"/>
  <c r="O473" i="5"/>
  <c r="F473" i="5"/>
  <c r="I473" i="5"/>
  <c r="R473" i="5"/>
  <c r="O467" i="5"/>
  <c r="R467" i="5"/>
  <c r="F467" i="5"/>
  <c r="I467" i="5"/>
  <c r="R461" i="5"/>
  <c r="U461" i="5"/>
  <c r="F461" i="5"/>
  <c r="I461" i="5"/>
  <c r="L461" i="5"/>
  <c r="O461" i="5"/>
  <c r="U455" i="5"/>
  <c r="I455" i="5"/>
  <c r="L455" i="5"/>
  <c r="O455" i="5"/>
  <c r="R455" i="5"/>
  <c r="F449" i="5"/>
  <c r="I449" i="5"/>
  <c r="L449" i="5"/>
  <c r="O449" i="5"/>
  <c r="R449" i="5"/>
  <c r="U449" i="5"/>
  <c r="F443" i="5"/>
  <c r="I443" i="5"/>
  <c r="L443" i="5"/>
  <c r="O443" i="5"/>
  <c r="R443" i="5"/>
  <c r="U443" i="5"/>
  <c r="F437" i="5"/>
  <c r="I437" i="5"/>
  <c r="L437" i="5"/>
  <c r="O437" i="5"/>
  <c r="R437" i="5"/>
  <c r="U437" i="5"/>
  <c r="F431" i="5"/>
  <c r="I431" i="5"/>
  <c r="L431" i="5"/>
  <c r="O431" i="5"/>
  <c r="R431" i="5"/>
  <c r="U431" i="5"/>
  <c r="F425" i="5"/>
  <c r="I425" i="5"/>
  <c r="L425" i="5"/>
  <c r="O425" i="5"/>
  <c r="U425" i="5"/>
  <c r="L419" i="5"/>
  <c r="R419" i="5"/>
  <c r="U419" i="5"/>
  <c r="F419" i="5"/>
  <c r="I419" i="5"/>
  <c r="O419" i="5"/>
  <c r="F413" i="5"/>
  <c r="I413" i="5"/>
  <c r="L413" i="5"/>
  <c r="O413" i="5"/>
  <c r="L407" i="5"/>
  <c r="F407" i="5"/>
  <c r="I407" i="5"/>
  <c r="O407" i="5"/>
  <c r="R407" i="5"/>
  <c r="U407" i="5"/>
  <c r="R401" i="5"/>
  <c r="U401" i="5"/>
  <c r="F401" i="5"/>
  <c r="I401" i="5"/>
  <c r="L401" i="5"/>
  <c r="O401" i="5"/>
  <c r="L395" i="5"/>
  <c r="O395" i="5"/>
  <c r="F395" i="5"/>
  <c r="I395" i="5"/>
  <c r="R395" i="5"/>
  <c r="U395" i="5"/>
  <c r="F389" i="5"/>
  <c r="I389" i="5"/>
  <c r="L389" i="5"/>
  <c r="O389" i="5"/>
  <c r="R389" i="5"/>
  <c r="L383" i="5"/>
  <c r="O383" i="5"/>
  <c r="R383" i="5"/>
  <c r="F383" i="5"/>
  <c r="I383" i="5"/>
  <c r="U383" i="5"/>
  <c r="F377" i="5"/>
  <c r="I377" i="5"/>
  <c r="R377" i="5"/>
  <c r="U377" i="5"/>
  <c r="L377" i="5"/>
  <c r="L371" i="5"/>
  <c r="O371" i="5"/>
  <c r="R371" i="5"/>
  <c r="U371" i="5"/>
  <c r="F371" i="5"/>
  <c r="I371" i="5"/>
  <c r="F365" i="5"/>
  <c r="I365" i="5"/>
  <c r="O365" i="5"/>
  <c r="R365" i="5"/>
  <c r="U365" i="5"/>
  <c r="L359" i="5"/>
  <c r="O359" i="5"/>
  <c r="R359" i="5"/>
  <c r="U359" i="5"/>
  <c r="F359" i="5"/>
  <c r="I359" i="5"/>
  <c r="F353" i="5"/>
  <c r="I353" i="5"/>
  <c r="L353" i="5"/>
  <c r="O353" i="5"/>
  <c r="R353" i="5"/>
  <c r="U353" i="5"/>
  <c r="F347" i="5"/>
  <c r="I347" i="5"/>
  <c r="L347" i="5"/>
  <c r="O347" i="5"/>
  <c r="R347" i="5"/>
  <c r="U347" i="5"/>
  <c r="R341" i="5"/>
  <c r="U341" i="5"/>
  <c r="F341" i="5"/>
  <c r="I341" i="5"/>
  <c r="L341" i="5"/>
  <c r="O341" i="5"/>
  <c r="F335" i="5"/>
  <c r="I335" i="5"/>
  <c r="O335" i="5"/>
  <c r="L335" i="5"/>
  <c r="R335" i="5"/>
  <c r="U335" i="5"/>
  <c r="R329" i="5"/>
  <c r="U329" i="5"/>
  <c r="F329" i="5"/>
  <c r="I329" i="5"/>
  <c r="L329" i="5"/>
  <c r="O329" i="5"/>
  <c r="F323" i="5"/>
  <c r="I323" i="5"/>
  <c r="L323" i="5"/>
  <c r="O323" i="5"/>
  <c r="R323" i="5"/>
  <c r="U323" i="5"/>
  <c r="R317" i="5"/>
  <c r="U317" i="5"/>
  <c r="F317" i="5"/>
  <c r="I317" i="5"/>
  <c r="L317" i="5"/>
  <c r="O317" i="5"/>
  <c r="F311" i="5"/>
  <c r="I311" i="5"/>
  <c r="L311" i="5"/>
  <c r="O311" i="5"/>
  <c r="R311" i="5"/>
  <c r="U311" i="5"/>
  <c r="R305" i="5"/>
  <c r="U305" i="5"/>
  <c r="F305" i="5"/>
  <c r="I305" i="5"/>
  <c r="L305" i="5"/>
  <c r="O305" i="5"/>
  <c r="F299" i="5"/>
  <c r="I299" i="5"/>
  <c r="L299" i="5"/>
  <c r="O299" i="5"/>
  <c r="R299" i="5"/>
  <c r="U299" i="5"/>
  <c r="R293" i="5"/>
  <c r="U293" i="5"/>
  <c r="F293" i="5"/>
  <c r="L293" i="5"/>
  <c r="O293" i="5"/>
  <c r="I293" i="5"/>
  <c r="F287" i="5"/>
  <c r="I287" i="5"/>
  <c r="L287" i="5"/>
  <c r="O287" i="5"/>
  <c r="R287" i="5"/>
  <c r="U287" i="5"/>
  <c r="R281" i="5"/>
  <c r="U281" i="5"/>
  <c r="F281" i="5"/>
  <c r="I281" i="5"/>
  <c r="L281" i="5"/>
  <c r="O281" i="5"/>
  <c r="F275" i="5"/>
  <c r="I275" i="5"/>
  <c r="L275" i="5"/>
  <c r="O275" i="5"/>
  <c r="R275" i="5"/>
  <c r="U275" i="5"/>
  <c r="R269" i="5"/>
  <c r="U269" i="5"/>
  <c r="F269" i="5"/>
  <c r="I269" i="5"/>
  <c r="L269" i="5"/>
  <c r="O269" i="5"/>
  <c r="F263" i="5"/>
  <c r="I263" i="5"/>
  <c r="L263" i="5"/>
  <c r="O263" i="5"/>
  <c r="R263" i="5"/>
  <c r="U263" i="5"/>
  <c r="R257" i="5"/>
  <c r="U257" i="5"/>
  <c r="F257" i="5"/>
  <c r="I257" i="5"/>
  <c r="L257" i="5"/>
  <c r="O257" i="5"/>
  <c r="F251" i="5"/>
  <c r="I251" i="5"/>
  <c r="L251" i="5"/>
  <c r="O251" i="5"/>
  <c r="R251" i="5"/>
  <c r="U251" i="5"/>
  <c r="R245" i="5"/>
  <c r="U245" i="5"/>
  <c r="F245" i="5"/>
  <c r="I245" i="5"/>
  <c r="L245" i="5"/>
  <c r="O245" i="5"/>
  <c r="F239" i="5"/>
  <c r="I239" i="5"/>
  <c r="L239" i="5"/>
  <c r="O239" i="5"/>
  <c r="R239" i="5"/>
  <c r="U239" i="5"/>
  <c r="Q574" i="5"/>
  <c r="K573" i="5"/>
  <c r="E572" i="5"/>
  <c r="Q570" i="5"/>
  <c r="K569" i="5"/>
  <c r="U567" i="5"/>
  <c r="N566" i="5"/>
  <c r="G565" i="5"/>
  <c r="Q563" i="5"/>
  <c r="M560" i="5"/>
  <c r="O553" i="5"/>
  <c r="E549" i="5"/>
  <c r="M546" i="5"/>
  <c r="U543" i="5"/>
  <c r="L541" i="5"/>
  <c r="L539" i="5"/>
  <c r="T536" i="5"/>
  <c r="J534" i="5"/>
  <c r="S529" i="5"/>
  <c r="I527" i="5"/>
  <c r="Q524" i="5"/>
  <c r="H520" i="5"/>
  <c r="P517" i="5"/>
  <c r="P515" i="5"/>
  <c r="N510" i="5"/>
  <c r="S507" i="5"/>
  <c r="M499" i="5"/>
  <c r="Q496" i="5"/>
  <c r="T493" i="5"/>
  <c r="R465" i="5"/>
  <c r="L439" i="5"/>
  <c r="U389" i="5"/>
  <c r="J545" i="5"/>
  <c r="P545" i="5"/>
  <c r="S545" i="5"/>
  <c r="V545" i="5"/>
  <c r="J533" i="5"/>
  <c r="G533" i="5"/>
  <c r="M533" i="5"/>
  <c r="P533" i="5"/>
  <c r="J521" i="5"/>
  <c r="V521" i="5"/>
  <c r="V491" i="5"/>
  <c r="G491" i="5"/>
  <c r="J491" i="5"/>
  <c r="M491" i="5"/>
  <c r="P491" i="5"/>
  <c r="S491" i="5"/>
  <c r="J479" i="5"/>
  <c r="G479" i="5"/>
  <c r="M479" i="5"/>
  <c r="P479" i="5"/>
  <c r="S479" i="5"/>
  <c r="V479" i="5"/>
  <c r="J467" i="5"/>
  <c r="P467" i="5"/>
  <c r="S467" i="5"/>
  <c r="G467" i="5"/>
  <c r="M467" i="5"/>
  <c r="V467" i="5"/>
  <c r="J455" i="5"/>
  <c r="V455" i="5"/>
  <c r="M455" i="5"/>
  <c r="P455" i="5"/>
  <c r="S455" i="5"/>
  <c r="J443" i="5"/>
  <c r="G443" i="5"/>
  <c r="M443" i="5"/>
  <c r="P443" i="5"/>
  <c r="S443" i="5"/>
  <c r="V443" i="5"/>
  <c r="V425" i="5"/>
  <c r="G425" i="5"/>
  <c r="J425" i="5"/>
  <c r="M425" i="5"/>
  <c r="P425" i="5"/>
  <c r="V413" i="5"/>
  <c r="G413" i="5"/>
  <c r="J413" i="5"/>
  <c r="M413" i="5"/>
  <c r="P413" i="5"/>
  <c r="V401" i="5"/>
  <c r="S401" i="5"/>
  <c r="G401" i="5"/>
  <c r="J401" i="5"/>
  <c r="M401" i="5"/>
  <c r="P401" i="5"/>
  <c r="V389" i="5"/>
  <c r="G389" i="5"/>
  <c r="J389" i="5"/>
  <c r="M389" i="5"/>
  <c r="P389" i="5"/>
  <c r="S389" i="5"/>
  <c r="V377" i="5"/>
  <c r="G377" i="5"/>
  <c r="J377" i="5"/>
  <c r="S377" i="5"/>
  <c r="M377" i="5"/>
  <c r="V365" i="5"/>
  <c r="G365" i="5"/>
  <c r="J365" i="5"/>
  <c r="P365" i="5"/>
  <c r="S365" i="5"/>
  <c r="V353" i="5"/>
  <c r="G353" i="5"/>
  <c r="J353" i="5"/>
  <c r="M353" i="5"/>
  <c r="P353" i="5"/>
  <c r="S353" i="5"/>
  <c r="S341" i="5"/>
  <c r="V341" i="5"/>
  <c r="G341" i="5"/>
  <c r="J341" i="5"/>
  <c r="M341" i="5"/>
  <c r="P341" i="5"/>
  <c r="S329" i="5"/>
  <c r="V329" i="5"/>
  <c r="G329" i="5"/>
  <c r="J329" i="5"/>
  <c r="M329" i="5"/>
  <c r="P329" i="5"/>
  <c r="S317" i="5"/>
  <c r="V317" i="5"/>
  <c r="G317" i="5"/>
  <c r="J317" i="5"/>
  <c r="M317" i="5"/>
  <c r="P317" i="5"/>
  <c r="S305" i="5"/>
  <c r="V305" i="5"/>
  <c r="G305" i="5"/>
  <c r="J305" i="5"/>
  <c r="M305" i="5"/>
  <c r="P305" i="5"/>
  <c r="S293" i="5"/>
  <c r="V293" i="5"/>
  <c r="G293" i="5"/>
  <c r="J293" i="5"/>
  <c r="M293" i="5"/>
  <c r="P293" i="5"/>
  <c r="S281" i="5"/>
  <c r="V281" i="5"/>
  <c r="G281" i="5"/>
  <c r="J281" i="5"/>
  <c r="M281" i="5"/>
  <c r="P281" i="5"/>
  <c r="S269" i="5"/>
  <c r="V269" i="5"/>
  <c r="G269" i="5"/>
  <c r="J269" i="5"/>
  <c r="M269" i="5"/>
  <c r="P269" i="5"/>
  <c r="G263" i="5"/>
  <c r="J263" i="5"/>
  <c r="M263" i="5"/>
  <c r="P263" i="5"/>
  <c r="S263" i="5"/>
  <c r="V263" i="5"/>
  <c r="G251" i="5"/>
  <c r="J251" i="5"/>
  <c r="M251" i="5"/>
  <c r="P251" i="5"/>
  <c r="S251" i="5"/>
  <c r="V251" i="5"/>
  <c r="G239" i="5"/>
  <c r="J239" i="5"/>
  <c r="M239" i="5"/>
  <c r="P239" i="5"/>
  <c r="S239" i="5"/>
  <c r="V239" i="5"/>
  <c r="J527" i="5"/>
  <c r="E557" i="5"/>
  <c r="H557" i="5"/>
  <c r="H551" i="5"/>
  <c r="K551" i="5"/>
  <c r="N551" i="5"/>
  <c r="Q551" i="5"/>
  <c r="Q545" i="5"/>
  <c r="T545" i="5"/>
  <c r="E539" i="5"/>
  <c r="H539" i="5"/>
  <c r="H533" i="5"/>
  <c r="K533" i="5"/>
  <c r="N533" i="5"/>
  <c r="N527" i="5"/>
  <c r="Q527" i="5"/>
  <c r="T527" i="5"/>
  <c r="E515" i="5"/>
  <c r="H515" i="5"/>
  <c r="K515" i="5"/>
  <c r="N515" i="5"/>
  <c r="N509" i="5"/>
  <c r="Q509" i="5"/>
  <c r="T509" i="5"/>
  <c r="T503" i="5"/>
  <c r="E503" i="5"/>
  <c r="H503" i="5"/>
  <c r="E497" i="5"/>
  <c r="H497" i="5"/>
  <c r="K497" i="5"/>
  <c r="N497" i="5"/>
  <c r="H491" i="5"/>
  <c r="K491" i="5"/>
  <c r="N491" i="5"/>
  <c r="Q491" i="5"/>
  <c r="E485" i="5"/>
  <c r="H485" i="5"/>
  <c r="K485" i="5"/>
  <c r="N485" i="5"/>
  <c r="Q485" i="5"/>
  <c r="T485" i="5"/>
  <c r="K479" i="5"/>
  <c r="H479" i="5"/>
  <c r="N479" i="5"/>
  <c r="E479" i="5"/>
  <c r="Q479" i="5"/>
  <c r="T479" i="5"/>
  <c r="K473" i="5"/>
  <c r="N473" i="5"/>
  <c r="E473" i="5"/>
  <c r="H473" i="5"/>
  <c r="Q473" i="5"/>
  <c r="T473" i="5"/>
  <c r="K467" i="5"/>
  <c r="N467" i="5"/>
  <c r="Q467" i="5"/>
  <c r="T467" i="5"/>
  <c r="E467" i="5"/>
  <c r="H467" i="5"/>
  <c r="Q461" i="5"/>
  <c r="T461" i="5"/>
  <c r="H461" i="5"/>
  <c r="K461" i="5"/>
  <c r="N461" i="5"/>
  <c r="K455" i="5"/>
  <c r="T455" i="5"/>
  <c r="E455" i="5"/>
  <c r="H455" i="5"/>
  <c r="N455" i="5"/>
  <c r="Q455" i="5"/>
  <c r="E449" i="5"/>
  <c r="H449" i="5"/>
  <c r="K449" i="5"/>
  <c r="N449" i="5"/>
  <c r="Q449" i="5"/>
  <c r="T449" i="5"/>
  <c r="K443" i="5"/>
  <c r="E443" i="5"/>
  <c r="H443" i="5"/>
  <c r="N443" i="5"/>
  <c r="Q443" i="5"/>
  <c r="T443" i="5"/>
  <c r="E437" i="5"/>
  <c r="H437" i="5"/>
  <c r="K437" i="5"/>
  <c r="N437" i="5"/>
  <c r="Q437" i="5"/>
  <c r="T437" i="5"/>
  <c r="K431" i="5"/>
  <c r="H431" i="5"/>
  <c r="N431" i="5"/>
  <c r="Q431" i="5"/>
  <c r="T431" i="5"/>
  <c r="E431" i="5"/>
  <c r="E425" i="5"/>
  <c r="H425" i="5"/>
  <c r="K425" i="5"/>
  <c r="N425" i="5"/>
  <c r="Q425" i="5"/>
  <c r="K419" i="5"/>
  <c r="N419" i="5"/>
  <c r="Q419" i="5"/>
  <c r="T419" i="5"/>
  <c r="E419" i="5"/>
  <c r="H419" i="5"/>
  <c r="E413" i="5"/>
  <c r="H413" i="5"/>
  <c r="K413" i="5"/>
  <c r="N413" i="5"/>
  <c r="T413" i="5"/>
  <c r="K407" i="5"/>
  <c r="N407" i="5"/>
  <c r="Q407" i="5"/>
  <c r="E407" i="5"/>
  <c r="H407" i="5"/>
  <c r="T407" i="5"/>
  <c r="E401" i="5"/>
  <c r="Q401" i="5"/>
  <c r="T401" i="5"/>
  <c r="H401" i="5"/>
  <c r="K401" i="5"/>
  <c r="N401" i="5"/>
  <c r="K395" i="5"/>
  <c r="N395" i="5"/>
  <c r="Q395" i="5"/>
  <c r="E395" i="5"/>
  <c r="H395" i="5"/>
  <c r="T395" i="5"/>
  <c r="E389" i="5"/>
  <c r="H389" i="5"/>
  <c r="K389" i="5"/>
  <c r="N389" i="5"/>
  <c r="Q389" i="5"/>
  <c r="T389" i="5"/>
  <c r="K383" i="5"/>
  <c r="N383" i="5"/>
  <c r="Q383" i="5"/>
  <c r="T383" i="5"/>
  <c r="H383" i="5"/>
  <c r="E383" i="5"/>
  <c r="E377" i="5"/>
  <c r="H377" i="5"/>
  <c r="T377" i="5"/>
  <c r="K377" i="5"/>
  <c r="Q377" i="5"/>
  <c r="K371" i="5"/>
  <c r="N371" i="5"/>
  <c r="Q371" i="5"/>
  <c r="T371" i="5"/>
  <c r="E371" i="5"/>
  <c r="H371" i="5"/>
  <c r="E365" i="5"/>
  <c r="H365" i="5"/>
  <c r="K365" i="5"/>
  <c r="Q365" i="5"/>
  <c r="T365" i="5"/>
  <c r="N365" i="5"/>
  <c r="K359" i="5"/>
  <c r="N359" i="5"/>
  <c r="Q359" i="5"/>
  <c r="T359" i="5"/>
  <c r="E359" i="5"/>
  <c r="H359" i="5"/>
  <c r="E353" i="5"/>
  <c r="H353" i="5"/>
  <c r="K353" i="5"/>
  <c r="N353" i="5"/>
  <c r="Q353" i="5"/>
  <c r="T353" i="5"/>
  <c r="E347" i="5"/>
  <c r="H347" i="5"/>
  <c r="K347" i="5"/>
  <c r="N347" i="5"/>
  <c r="Q347" i="5"/>
  <c r="T347" i="5"/>
  <c r="Q341" i="5"/>
  <c r="T341" i="5"/>
  <c r="H341" i="5"/>
  <c r="K341" i="5"/>
  <c r="N341" i="5"/>
  <c r="E341" i="5"/>
  <c r="E335" i="5"/>
  <c r="H335" i="5"/>
  <c r="K335" i="5"/>
  <c r="N335" i="5"/>
  <c r="Q335" i="5"/>
  <c r="T335" i="5"/>
  <c r="Q329" i="5"/>
  <c r="T329" i="5"/>
  <c r="E329" i="5"/>
  <c r="H329" i="5"/>
  <c r="K329" i="5"/>
  <c r="N329" i="5"/>
  <c r="E323" i="5"/>
  <c r="H323" i="5"/>
  <c r="K323" i="5"/>
  <c r="N323" i="5"/>
  <c r="Q323" i="5"/>
  <c r="T323" i="5"/>
  <c r="Q317" i="5"/>
  <c r="T317" i="5"/>
  <c r="E317" i="5"/>
  <c r="H317" i="5"/>
  <c r="K317" i="5"/>
  <c r="N317" i="5"/>
  <c r="E311" i="5"/>
  <c r="H311" i="5"/>
  <c r="K311" i="5"/>
  <c r="N311" i="5"/>
  <c r="Q311" i="5"/>
  <c r="T311" i="5"/>
  <c r="Q305" i="5"/>
  <c r="T305" i="5"/>
  <c r="E305" i="5"/>
  <c r="H305" i="5"/>
  <c r="K305" i="5"/>
  <c r="N305" i="5"/>
  <c r="E299" i="5"/>
  <c r="H299" i="5"/>
  <c r="K299" i="5"/>
  <c r="N299" i="5"/>
  <c r="Q299" i="5"/>
  <c r="T299" i="5"/>
  <c r="Q293" i="5"/>
  <c r="T293" i="5"/>
  <c r="E293" i="5"/>
  <c r="H293" i="5"/>
  <c r="K293" i="5"/>
  <c r="N293" i="5"/>
  <c r="E287" i="5"/>
  <c r="H287" i="5"/>
  <c r="K287" i="5"/>
  <c r="N287" i="5"/>
  <c r="Q287" i="5"/>
  <c r="T287" i="5"/>
  <c r="Q281" i="5"/>
  <c r="T281" i="5"/>
  <c r="E281" i="5"/>
  <c r="H281" i="5"/>
  <c r="K281" i="5"/>
  <c r="N281" i="5"/>
  <c r="E275" i="5"/>
  <c r="H275" i="5"/>
  <c r="K275" i="5"/>
  <c r="N275" i="5"/>
  <c r="Q275" i="5"/>
  <c r="T275" i="5"/>
  <c r="Q269" i="5"/>
  <c r="T269" i="5"/>
  <c r="E269" i="5"/>
  <c r="H269" i="5"/>
  <c r="K269" i="5"/>
  <c r="N269" i="5"/>
  <c r="E263" i="5"/>
  <c r="H263" i="5"/>
  <c r="K263" i="5"/>
  <c r="N263" i="5"/>
  <c r="Q263" i="5"/>
  <c r="T263" i="5"/>
  <c r="Q257" i="5"/>
  <c r="T257" i="5"/>
  <c r="E257" i="5"/>
  <c r="H257" i="5"/>
  <c r="K257" i="5"/>
  <c r="N257" i="5"/>
  <c r="E251" i="5"/>
  <c r="H251" i="5"/>
  <c r="K251" i="5"/>
  <c r="N251" i="5"/>
  <c r="Q251" i="5"/>
  <c r="T251" i="5"/>
  <c r="Q245" i="5"/>
  <c r="T245" i="5"/>
  <c r="E245" i="5"/>
  <c r="H245" i="5"/>
  <c r="K245" i="5"/>
  <c r="N245" i="5"/>
  <c r="E239" i="5"/>
  <c r="H239" i="5"/>
  <c r="K239" i="5"/>
  <c r="N239" i="5"/>
  <c r="Q239" i="5"/>
  <c r="T239" i="5"/>
  <c r="P574" i="5"/>
  <c r="J573" i="5"/>
  <c r="V571" i="5"/>
  <c r="P570" i="5"/>
  <c r="I569" i="5"/>
  <c r="T567" i="5"/>
  <c r="M566" i="5"/>
  <c r="F565" i="5"/>
  <c r="P563" i="5"/>
  <c r="L560" i="5"/>
  <c r="E558" i="5"/>
  <c r="N553" i="5"/>
  <c r="V548" i="5"/>
  <c r="T543" i="5"/>
  <c r="K541" i="5"/>
  <c r="K539" i="5"/>
  <c r="S536" i="5"/>
  <c r="J532" i="5"/>
  <c r="H527" i="5"/>
  <c r="P524" i="5"/>
  <c r="Q522" i="5"/>
  <c r="O517" i="5"/>
  <c r="O515" i="5"/>
  <c r="R507" i="5"/>
  <c r="V504" i="5"/>
  <c r="L499" i="5"/>
  <c r="K490" i="5"/>
  <c r="G486" i="5"/>
  <c r="S470" i="5"/>
  <c r="Q465" i="5"/>
  <c r="R413" i="5"/>
  <c r="V551" i="5"/>
  <c r="J551" i="5"/>
  <c r="M551" i="5"/>
  <c r="P551" i="5"/>
  <c r="J431" i="5"/>
  <c r="G431" i="5"/>
  <c r="M431" i="5"/>
  <c r="P431" i="5"/>
  <c r="S431" i="5"/>
  <c r="V431" i="5"/>
  <c r="I573" i="5"/>
  <c r="U571" i="5"/>
  <c r="H569" i="5"/>
  <c r="S567" i="5"/>
  <c r="L566" i="5"/>
  <c r="E565" i="5"/>
  <c r="O563" i="5"/>
  <c r="K560" i="5"/>
  <c r="V557" i="5"/>
  <c r="E556" i="5"/>
  <c r="M553" i="5"/>
  <c r="K548" i="5"/>
  <c r="K546" i="5"/>
  <c r="S543" i="5"/>
  <c r="I541" i="5"/>
  <c r="J539" i="5"/>
  <c r="R536" i="5"/>
  <c r="H534" i="5"/>
  <c r="P531" i="5"/>
  <c r="Q529" i="5"/>
  <c r="G527" i="5"/>
  <c r="O524" i="5"/>
  <c r="N517" i="5"/>
  <c r="V512" i="5"/>
  <c r="Q507" i="5"/>
  <c r="K499" i="5"/>
  <c r="R493" i="5"/>
  <c r="U485" i="5"/>
  <c r="K470" i="5"/>
  <c r="Q413" i="5"/>
  <c r="P562" i="5"/>
  <c r="J562" i="5"/>
  <c r="S556" i="5"/>
  <c r="V556" i="5"/>
  <c r="P550" i="5"/>
  <c r="G550" i="5"/>
  <c r="J550" i="5"/>
  <c r="J544" i="5"/>
  <c r="M544" i="5"/>
  <c r="P544" i="5"/>
  <c r="P538" i="5"/>
  <c r="S538" i="5"/>
  <c r="V538" i="5"/>
  <c r="P526" i="5"/>
  <c r="G526" i="5"/>
  <c r="J526" i="5"/>
  <c r="M526" i="5"/>
  <c r="P520" i="5"/>
  <c r="S520" i="5"/>
  <c r="V520" i="5"/>
  <c r="P514" i="5"/>
  <c r="G514" i="5"/>
  <c r="G508" i="5"/>
  <c r="J508" i="5"/>
  <c r="M508" i="5"/>
  <c r="P508" i="5"/>
  <c r="P502" i="5"/>
  <c r="M502" i="5"/>
  <c r="S502" i="5"/>
  <c r="V502" i="5"/>
  <c r="V496" i="5"/>
  <c r="G496" i="5"/>
  <c r="P490" i="5"/>
  <c r="S490" i="5"/>
  <c r="V490" i="5"/>
  <c r="G490" i="5"/>
  <c r="P484" i="5"/>
  <c r="V484" i="5"/>
  <c r="G484" i="5"/>
  <c r="J484" i="5"/>
  <c r="S478" i="5"/>
  <c r="V478" i="5"/>
  <c r="G478" i="5"/>
  <c r="J478" i="5"/>
  <c r="P472" i="5"/>
  <c r="G472" i="5"/>
  <c r="S472" i="5"/>
  <c r="V472" i="5"/>
  <c r="G466" i="5"/>
  <c r="J466" i="5"/>
  <c r="M466" i="5"/>
  <c r="P466" i="5"/>
  <c r="S466" i="5"/>
  <c r="V466" i="5"/>
  <c r="P460" i="5"/>
  <c r="J460" i="5"/>
  <c r="M460" i="5"/>
  <c r="S460" i="5"/>
  <c r="M454" i="5"/>
  <c r="P454" i="5"/>
  <c r="S454" i="5"/>
  <c r="V454" i="5"/>
  <c r="P448" i="5"/>
  <c r="S448" i="5"/>
  <c r="V448" i="5"/>
  <c r="M448" i="5"/>
  <c r="S442" i="5"/>
  <c r="V442" i="5"/>
  <c r="M442" i="5"/>
  <c r="P442" i="5"/>
  <c r="P436" i="5"/>
  <c r="V436" i="5"/>
  <c r="G436" i="5"/>
  <c r="M436" i="5"/>
  <c r="S436" i="5"/>
  <c r="G430" i="5"/>
  <c r="J430" i="5"/>
  <c r="M430" i="5"/>
  <c r="P430" i="5"/>
  <c r="S430" i="5"/>
  <c r="V430" i="5"/>
  <c r="P424" i="5"/>
  <c r="S424" i="5"/>
  <c r="V424" i="5"/>
  <c r="G424" i="5"/>
  <c r="J424" i="5"/>
  <c r="M424" i="5"/>
  <c r="G418" i="5"/>
  <c r="J418" i="5"/>
  <c r="M418" i="5"/>
  <c r="P418" i="5"/>
  <c r="V418" i="5"/>
  <c r="P412" i="5"/>
  <c r="S412" i="5"/>
  <c r="M412" i="5"/>
  <c r="V412" i="5"/>
  <c r="G412" i="5"/>
  <c r="J412" i="5"/>
  <c r="G406" i="5"/>
  <c r="J406" i="5"/>
  <c r="M406" i="5"/>
  <c r="P406" i="5"/>
  <c r="S406" i="5"/>
  <c r="V406" i="5"/>
  <c r="P400" i="5"/>
  <c r="S400" i="5"/>
  <c r="G400" i="5"/>
  <c r="J400" i="5"/>
  <c r="M400" i="5"/>
  <c r="V400" i="5"/>
  <c r="G394" i="5"/>
  <c r="P394" i="5"/>
  <c r="S394" i="5"/>
  <c r="V394" i="5"/>
  <c r="J394" i="5"/>
  <c r="M394" i="5"/>
  <c r="P388" i="5"/>
  <c r="S388" i="5"/>
  <c r="J388" i="5"/>
  <c r="M388" i="5"/>
  <c r="V388" i="5"/>
  <c r="G388" i="5"/>
  <c r="G382" i="5"/>
  <c r="J382" i="5"/>
  <c r="M382" i="5"/>
  <c r="P382" i="5"/>
  <c r="S382" i="5"/>
  <c r="V382" i="5"/>
  <c r="P376" i="5"/>
  <c r="S376" i="5"/>
  <c r="V376" i="5"/>
  <c r="G376" i="5"/>
  <c r="J376" i="5"/>
  <c r="M376" i="5"/>
  <c r="G370" i="5"/>
  <c r="J370" i="5"/>
  <c r="M370" i="5"/>
  <c r="P370" i="5"/>
  <c r="S370" i="5"/>
  <c r="V370" i="5"/>
  <c r="P364" i="5"/>
  <c r="S364" i="5"/>
  <c r="V364" i="5"/>
  <c r="G364" i="5"/>
  <c r="J364" i="5"/>
  <c r="M364" i="5"/>
  <c r="G358" i="5"/>
  <c r="J358" i="5"/>
  <c r="M358" i="5"/>
  <c r="P358" i="5"/>
  <c r="S358" i="5"/>
  <c r="V358" i="5"/>
  <c r="P352" i="5"/>
  <c r="S352" i="5"/>
  <c r="V352" i="5"/>
  <c r="G352" i="5"/>
  <c r="J352" i="5"/>
  <c r="M352" i="5"/>
  <c r="G346" i="5"/>
  <c r="V346" i="5"/>
  <c r="J346" i="5"/>
  <c r="M346" i="5"/>
  <c r="P346" i="5"/>
  <c r="S346" i="5"/>
  <c r="M340" i="5"/>
  <c r="P340" i="5"/>
  <c r="S340" i="5"/>
  <c r="G340" i="5"/>
  <c r="J340" i="5"/>
  <c r="V340" i="5"/>
  <c r="G334" i="5"/>
  <c r="J334" i="5"/>
  <c r="M334" i="5"/>
  <c r="P334" i="5"/>
  <c r="S334" i="5"/>
  <c r="V334" i="5"/>
  <c r="M328" i="5"/>
  <c r="P328" i="5"/>
  <c r="S328" i="5"/>
  <c r="V328" i="5"/>
  <c r="J328" i="5"/>
  <c r="G328" i="5"/>
  <c r="G322" i="5"/>
  <c r="J322" i="5"/>
  <c r="M322" i="5"/>
  <c r="P322" i="5"/>
  <c r="S322" i="5"/>
  <c r="V322" i="5"/>
  <c r="M316" i="5"/>
  <c r="P316" i="5"/>
  <c r="S316" i="5"/>
  <c r="V316" i="5"/>
  <c r="G316" i="5"/>
  <c r="J316" i="5"/>
  <c r="G310" i="5"/>
  <c r="J310" i="5"/>
  <c r="M310" i="5"/>
  <c r="P310" i="5"/>
  <c r="S310" i="5"/>
  <c r="V310" i="5"/>
  <c r="M304" i="5"/>
  <c r="P304" i="5"/>
  <c r="S304" i="5"/>
  <c r="V304" i="5"/>
  <c r="J304" i="5"/>
  <c r="G304" i="5"/>
  <c r="G298" i="5"/>
  <c r="J298" i="5"/>
  <c r="M298" i="5"/>
  <c r="P298" i="5"/>
  <c r="S298" i="5"/>
  <c r="V298" i="5"/>
  <c r="M292" i="5"/>
  <c r="P292" i="5"/>
  <c r="S292" i="5"/>
  <c r="V292" i="5"/>
  <c r="G292" i="5"/>
  <c r="J292" i="5"/>
  <c r="G286" i="5"/>
  <c r="J286" i="5"/>
  <c r="M286" i="5"/>
  <c r="P286" i="5"/>
  <c r="S286" i="5"/>
  <c r="V286" i="5"/>
  <c r="M280" i="5"/>
  <c r="P280" i="5"/>
  <c r="S280" i="5"/>
  <c r="V280" i="5"/>
  <c r="G280" i="5"/>
  <c r="J280" i="5"/>
  <c r="G274" i="5"/>
  <c r="J274" i="5"/>
  <c r="M274" i="5"/>
  <c r="P274" i="5"/>
  <c r="S274" i="5"/>
  <c r="V274" i="5"/>
  <c r="M268" i="5"/>
  <c r="P268" i="5"/>
  <c r="S268" i="5"/>
  <c r="V268" i="5"/>
  <c r="G268" i="5"/>
  <c r="J268" i="5"/>
  <c r="G262" i="5"/>
  <c r="J262" i="5"/>
  <c r="M262" i="5"/>
  <c r="P262" i="5"/>
  <c r="S262" i="5"/>
  <c r="V262" i="5"/>
  <c r="M256" i="5"/>
  <c r="P256" i="5"/>
  <c r="S256" i="5"/>
  <c r="V256" i="5"/>
  <c r="G256" i="5"/>
  <c r="J256" i="5"/>
  <c r="G250" i="5"/>
  <c r="J250" i="5"/>
  <c r="M250" i="5"/>
  <c r="P250" i="5"/>
  <c r="S250" i="5"/>
  <c r="V250" i="5"/>
  <c r="M244" i="5"/>
  <c r="P244" i="5"/>
  <c r="S244" i="5"/>
  <c r="V244" i="5"/>
  <c r="G244" i="5"/>
  <c r="J244" i="5"/>
  <c r="N574" i="5"/>
  <c r="H573" i="5"/>
  <c r="T571" i="5"/>
  <c r="N570" i="5"/>
  <c r="G569" i="5"/>
  <c r="R567" i="5"/>
  <c r="K566" i="5"/>
  <c r="V564" i="5"/>
  <c r="N563" i="5"/>
  <c r="V561" i="5"/>
  <c r="J560" i="5"/>
  <c r="U557" i="5"/>
  <c r="U555" i="5"/>
  <c r="L553" i="5"/>
  <c r="J548" i="5"/>
  <c r="J546" i="5"/>
  <c r="R543" i="5"/>
  <c r="H541" i="5"/>
  <c r="I539" i="5"/>
  <c r="Q536" i="5"/>
  <c r="O531" i="5"/>
  <c r="F527" i="5"/>
  <c r="N524" i="5"/>
  <c r="N522" i="5"/>
  <c r="M517" i="5"/>
  <c r="U512" i="5"/>
  <c r="K510" i="5"/>
  <c r="P507" i="5"/>
  <c r="T504" i="5"/>
  <c r="J499" i="5"/>
  <c r="N496" i="5"/>
  <c r="Q493" i="5"/>
  <c r="K480" i="5"/>
  <c r="J470" i="5"/>
  <c r="O465" i="5"/>
  <c r="I457" i="5"/>
  <c r="K426" i="5"/>
  <c r="K562" i="5"/>
  <c r="N562" i="5"/>
  <c r="E550" i="5"/>
  <c r="H550" i="5"/>
  <c r="K544" i="5"/>
  <c r="N544" i="5"/>
  <c r="Q544" i="5"/>
  <c r="Q538" i="5"/>
  <c r="T538" i="5"/>
  <c r="E532" i="5"/>
  <c r="H532" i="5"/>
  <c r="H526" i="5"/>
  <c r="K526" i="5"/>
  <c r="N526" i="5"/>
  <c r="Q526" i="5"/>
  <c r="Q520" i="5"/>
  <c r="T520" i="5"/>
  <c r="H508" i="5"/>
  <c r="K508" i="5"/>
  <c r="N508" i="5"/>
  <c r="N502" i="5"/>
  <c r="Q502" i="5"/>
  <c r="T502" i="5"/>
  <c r="Q490" i="5"/>
  <c r="T490" i="5"/>
  <c r="E490" i="5"/>
  <c r="Q484" i="5"/>
  <c r="E484" i="5"/>
  <c r="E478" i="5"/>
  <c r="T478" i="5"/>
  <c r="Q472" i="5"/>
  <c r="E472" i="5"/>
  <c r="H472" i="5"/>
  <c r="T472" i="5"/>
  <c r="E466" i="5"/>
  <c r="H466" i="5"/>
  <c r="K466" i="5"/>
  <c r="N466" i="5"/>
  <c r="Q466" i="5"/>
  <c r="T466" i="5"/>
  <c r="Q460" i="5"/>
  <c r="H460" i="5"/>
  <c r="K460" i="5"/>
  <c r="N460" i="5"/>
  <c r="T460" i="5"/>
  <c r="E454" i="5"/>
  <c r="N454" i="5"/>
  <c r="Q454" i="5"/>
  <c r="T454" i="5"/>
  <c r="Q448" i="5"/>
  <c r="N448" i="5"/>
  <c r="T448" i="5"/>
  <c r="E448" i="5"/>
  <c r="E442" i="5"/>
  <c r="T442" i="5"/>
  <c r="N442" i="5"/>
  <c r="Q442" i="5"/>
  <c r="Q436" i="5"/>
  <c r="E436" i="5"/>
  <c r="H436" i="5"/>
  <c r="K436" i="5"/>
  <c r="N436" i="5"/>
  <c r="T436" i="5"/>
  <c r="E430" i="5"/>
  <c r="H430" i="5"/>
  <c r="K430" i="5"/>
  <c r="N430" i="5"/>
  <c r="Q430" i="5"/>
  <c r="T430" i="5"/>
  <c r="Q424" i="5"/>
  <c r="T424" i="5"/>
  <c r="E424" i="5"/>
  <c r="H424" i="5"/>
  <c r="K424" i="5"/>
  <c r="N424" i="5"/>
  <c r="E418" i="5"/>
  <c r="H418" i="5"/>
  <c r="K418" i="5"/>
  <c r="N418" i="5"/>
  <c r="Q418" i="5"/>
  <c r="Q412" i="5"/>
  <c r="T412" i="5"/>
  <c r="K412" i="5"/>
  <c r="N412" i="5"/>
  <c r="E412" i="5"/>
  <c r="H412" i="5"/>
  <c r="E406" i="5"/>
  <c r="H406" i="5"/>
  <c r="K406" i="5"/>
  <c r="N406" i="5"/>
  <c r="Q406" i="5"/>
  <c r="T406" i="5"/>
  <c r="Q400" i="5"/>
  <c r="T400" i="5"/>
  <c r="E400" i="5"/>
  <c r="H400" i="5"/>
  <c r="K400" i="5"/>
  <c r="N400" i="5"/>
  <c r="E394" i="5"/>
  <c r="H394" i="5"/>
  <c r="K394" i="5"/>
  <c r="N394" i="5"/>
  <c r="Q394" i="5"/>
  <c r="T394" i="5"/>
  <c r="Q388" i="5"/>
  <c r="T388" i="5"/>
  <c r="K388" i="5"/>
  <c r="N388" i="5"/>
  <c r="E388" i="5"/>
  <c r="E382" i="5"/>
  <c r="H382" i="5"/>
  <c r="K382" i="5"/>
  <c r="N382" i="5"/>
  <c r="Q382" i="5"/>
  <c r="T382" i="5"/>
  <c r="Q376" i="5"/>
  <c r="T376" i="5"/>
  <c r="E376" i="5"/>
  <c r="H376" i="5"/>
  <c r="K376" i="5"/>
  <c r="N376" i="5"/>
  <c r="E370" i="5"/>
  <c r="H370" i="5"/>
  <c r="K370" i="5"/>
  <c r="N370" i="5"/>
  <c r="Q370" i="5"/>
  <c r="T370" i="5"/>
  <c r="Q364" i="5"/>
  <c r="T364" i="5"/>
  <c r="E364" i="5"/>
  <c r="H364" i="5"/>
  <c r="K364" i="5"/>
  <c r="N364" i="5"/>
  <c r="E358" i="5"/>
  <c r="H358" i="5"/>
  <c r="K358" i="5"/>
  <c r="N358" i="5"/>
  <c r="Q358" i="5"/>
  <c r="T358" i="5"/>
  <c r="Q352" i="5"/>
  <c r="T352" i="5"/>
  <c r="E352" i="5"/>
  <c r="H352" i="5"/>
  <c r="K352" i="5"/>
  <c r="N352" i="5"/>
  <c r="E346" i="5"/>
  <c r="T346" i="5"/>
  <c r="H346" i="5"/>
  <c r="K346" i="5"/>
  <c r="N346" i="5"/>
  <c r="Q346" i="5"/>
  <c r="K340" i="5"/>
  <c r="N340" i="5"/>
  <c r="Q340" i="5"/>
  <c r="T340" i="5"/>
  <c r="E340" i="5"/>
  <c r="H340" i="5"/>
  <c r="E334" i="5"/>
  <c r="H334" i="5"/>
  <c r="K334" i="5"/>
  <c r="N334" i="5"/>
  <c r="Q334" i="5"/>
  <c r="T334" i="5"/>
  <c r="K328" i="5"/>
  <c r="N328" i="5"/>
  <c r="Q328" i="5"/>
  <c r="T328" i="5"/>
  <c r="H328" i="5"/>
  <c r="E328" i="5"/>
  <c r="E322" i="5"/>
  <c r="H322" i="5"/>
  <c r="K322" i="5"/>
  <c r="N322" i="5"/>
  <c r="Q322" i="5"/>
  <c r="T322" i="5"/>
  <c r="K316" i="5"/>
  <c r="N316" i="5"/>
  <c r="Q316" i="5"/>
  <c r="T316" i="5"/>
  <c r="E316" i="5"/>
  <c r="H316" i="5"/>
  <c r="E310" i="5"/>
  <c r="H310" i="5"/>
  <c r="K310" i="5"/>
  <c r="N310" i="5"/>
  <c r="Q310" i="5"/>
  <c r="T310" i="5"/>
  <c r="K304" i="5"/>
  <c r="N304" i="5"/>
  <c r="Q304" i="5"/>
  <c r="T304" i="5"/>
  <c r="H304" i="5"/>
  <c r="E304" i="5"/>
  <c r="E298" i="5"/>
  <c r="H298" i="5"/>
  <c r="K298" i="5"/>
  <c r="N298" i="5"/>
  <c r="Q298" i="5"/>
  <c r="T298" i="5"/>
  <c r="K292" i="5"/>
  <c r="N292" i="5"/>
  <c r="Q292" i="5"/>
  <c r="T292" i="5"/>
  <c r="E292" i="5"/>
  <c r="H292" i="5"/>
  <c r="E286" i="5"/>
  <c r="H286" i="5"/>
  <c r="K286" i="5"/>
  <c r="N286" i="5"/>
  <c r="Q286" i="5"/>
  <c r="T286" i="5"/>
  <c r="K280" i="5"/>
  <c r="N280" i="5"/>
  <c r="Q280" i="5"/>
  <c r="T280" i="5"/>
  <c r="E280" i="5"/>
  <c r="H280" i="5"/>
  <c r="E274" i="5"/>
  <c r="H274" i="5"/>
  <c r="K274" i="5"/>
  <c r="N274" i="5"/>
  <c r="Q274" i="5"/>
  <c r="T274" i="5"/>
  <c r="K268" i="5"/>
  <c r="N268" i="5"/>
  <c r="Q268" i="5"/>
  <c r="T268" i="5"/>
  <c r="E268" i="5"/>
  <c r="H268" i="5"/>
  <c r="E262" i="5"/>
  <c r="H262" i="5"/>
  <c r="K262" i="5"/>
  <c r="N262" i="5"/>
  <c r="Q262" i="5"/>
  <c r="T262" i="5"/>
  <c r="K256" i="5"/>
  <c r="N256" i="5"/>
  <c r="Q256" i="5"/>
  <c r="T256" i="5"/>
  <c r="E256" i="5"/>
  <c r="H256" i="5"/>
  <c r="E250" i="5"/>
  <c r="H250" i="5"/>
  <c r="K250" i="5"/>
  <c r="N250" i="5"/>
  <c r="Q250" i="5"/>
  <c r="T250" i="5"/>
  <c r="K244" i="5"/>
  <c r="N244" i="5"/>
  <c r="Q244" i="5"/>
  <c r="T244" i="5"/>
  <c r="E244" i="5"/>
  <c r="H244" i="5"/>
  <c r="F573" i="5"/>
  <c r="R571" i="5"/>
  <c r="E569" i="5"/>
  <c r="P567" i="5"/>
  <c r="I566" i="5"/>
  <c r="T564" i="5"/>
  <c r="L563" i="5"/>
  <c r="T561" i="5"/>
  <c r="H560" i="5"/>
  <c r="S557" i="5"/>
  <c r="I553" i="5"/>
  <c r="H548" i="5"/>
  <c r="H546" i="5"/>
  <c r="N538" i="5"/>
  <c r="E534" i="5"/>
  <c r="V526" i="5"/>
  <c r="L524" i="5"/>
  <c r="T521" i="5"/>
  <c r="K517" i="5"/>
  <c r="S514" i="5"/>
  <c r="S512" i="5"/>
  <c r="V488" i="5"/>
  <c r="J448" i="5"/>
  <c r="K574" i="5"/>
  <c r="E573" i="5"/>
  <c r="Q571" i="5"/>
  <c r="K570" i="5"/>
  <c r="V568" i="5"/>
  <c r="O567" i="5"/>
  <c r="H566" i="5"/>
  <c r="S564" i="5"/>
  <c r="K563" i="5"/>
  <c r="G560" i="5"/>
  <c r="R557" i="5"/>
  <c r="H553" i="5"/>
  <c r="Q550" i="5"/>
  <c r="O545" i="5"/>
  <c r="M538" i="5"/>
  <c r="V533" i="5"/>
  <c r="T528" i="5"/>
  <c r="K524" i="5"/>
  <c r="S521" i="5"/>
  <c r="I517" i="5"/>
  <c r="H512" i="5"/>
  <c r="H510" i="5"/>
  <c r="Q504" i="5"/>
  <c r="K496" i="5"/>
  <c r="U488" i="5"/>
  <c r="H480" i="5"/>
  <c r="N474" i="5"/>
  <c r="T425" i="5"/>
  <c r="P377" i="5"/>
  <c r="J561" i="5"/>
  <c r="G561" i="5"/>
  <c r="V555" i="5"/>
  <c r="M555" i="5"/>
  <c r="P555" i="5"/>
  <c r="S555" i="5"/>
  <c r="J549" i="5"/>
  <c r="S549" i="5"/>
  <c r="V549" i="5"/>
  <c r="V543" i="5"/>
  <c r="G543" i="5"/>
  <c r="J543" i="5"/>
  <c r="J537" i="5"/>
  <c r="M537" i="5"/>
  <c r="P537" i="5"/>
  <c r="S537" i="5"/>
  <c r="V531" i="5"/>
  <c r="S531" i="5"/>
  <c r="J525" i="5"/>
  <c r="G525" i="5"/>
  <c r="V519" i="5"/>
  <c r="J519" i="5"/>
  <c r="M519" i="5"/>
  <c r="P519" i="5"/>
  <c r="J513" i="5"/>
  <c r="P513" i="5"/>
  <c r="S513" i="5"/>
  <c r="V513" i="5"/>
  <c r="V507" i="5"/>
  <c r="G507" i="5"/>
  <c r="J501" i="5"/>
  <c r="G501" i="5"/>
  <c r="M501" i="5"/>
  <c r="P501" i="5"/>
  <c r="S501" i="5"/>
  <c r="V495" i="5"/>
  <c r="P495" i="5"/>
  <c r="S495" i="5"/>
  <c r="V489" i="5"/>
  <c r="J489" i="5"/>
  <c r="M489" i="5"/>
  <c r="G489" i="5"/>
  <c r="P489" i="5"/>
  <c r="S489" i="5"/>
  <c r="J483" i="5"/>
  <c r="P483" i="5"/>
  <c r="S483" i="5"/>
  <c r="G483" i="5"/>
  <c r="M483" i="5"/>
  <c r="V483" i="5"/>
  <c r="V477" i="5"/>
  <c r="P477" i="5"/>
  <c r="S477" i="5"/>
  <c r="G477" i="5"/>
  <c r="J477" i="5"/>
  <c r="M477" i="5"/>
  <c r="J471" i="5"/>
  <c r="V471" i="5"/>
  <c r="G471" i="5"/>
  <c r="M471" i="5"/>
  <c r="P471" i="5"/>
  <c r="S471" i="5"/>
  <c r="V465" i="5"/>
  <c r="G465" i="5"/>
  <c r="J465" i="5"/>
  <c r="M465" i="5"/>
  <c r="J459" i="5"/>
  <c r="G459" i="5"/>
  <c r="M459" i="5"/>
  <c r="P459" i="5"/>
  <c r="S459" i="5"/>
  <c r="V453" i="5"/>
  <c r="G453" i="5"/>
  <c r="J453" i="5"/>
  <c r="M453" i="5"/>
  <c r="P453" i="5"/>
  <c r="J447" i="5"/>
  <c r="G447" i="5"/>
  <c r="M447" i="5"/>
  <c r="P447" i="5"/>
  <c r="S447" i="5"/>
  <c r="V447" i="5"/>
  <c r="V441" i="5"/>
  <c r="J441" i="5"/>
  <c r="M441" i="5"/>
  <c r="P441" i="5"/>
  <c r="S441" i="5"/>
  <c r="G441" i="5"/>
  <c r="J435" i="5"/>
  <c r="P435" i="5"/>
  <c r="S435" i="5"/>
  <c r="V435" i="5"/>
  <c r="V429" i="5"/>
  <c r="P429" i="5"/>
  <c r="S429" i="5"/>
  <c r="J429" i="5"/>
  <c r="J423" i="5"/>
  <c r="M423" i="5"/>
  <c r="G423" i="5"/>
  <c r="P423" i="5"/>
  <c r="S423" i="5"/>
  <c r="V423" i="5"/>
  <c r="V417" i="5"/>
  <c r="S417" i="5"/>
  <c r="G417" i="5"/>
  <c r="J417" i="5"/>
  <c r="P417" i="5"/>
  <c r="J411" i="5"/>
  <c r="M411" i="5"/>
  <c r="G411" i="5"/>
  <c r="P411" i="5"/>
  <c r="S411" i="5"/>
  <c r="V411" i="5"/>
  <c r="V405" i="5"/>
  <c r="M405" i="5"/>
  <c r="P405" i="5"/>
  <c r="S405" i="5"/>
  <c r="G405" i="5"/>
  <c r="J405" i="5"/>
  <c r="J399" i="5"/>
  <c r="M399" i="5"/>
  <c r="G399" i="5"/>
  <c r="P399" i="5"/>
  <c r="S399" i="5"/>
  <c r="V399" i="5"/>
  <c r="V393" i="5"/>
  <c r="G393" i="5"/>
  <c r="J393" i="5"/>
  <c r="M393" i="5"/>
  <c r="P393" i="5"/>
  <c r="S393" i="5"/>
  <c r="J387" i="5"/>
  <c r="M387" i="5"/>
  <c r="S387" i="5"/>
  <c r="V387" i="5"/>
  <c r="G387" i="5"/>
  <c r="P387" i="5"/>
  <c r="V381" i="5"/>
  <c r="G381" i="5"/>
  <c r="J381" i="5"/>
  <c r="M381" i="5"/>
  <c r="P381" i="5"/>
  <c r="S381" i="5"/>
  <c r="J375" i="5"/>
  <c r="M375" i="5"/>
  <c r="P375" i="5"/>
  <c r="S375" i="5"/>
  <c r="V375" i="5"/>
  <c r="G375" i="5"/>
  <c r="V369" i="5"/>
  <c r="G369" i="5"/>
  <c r="J369" i="5"/>
  <c r="M369" i="5"/>
  <c r="P369" i="5"/>
  <c r="S369" i="5"/>
  <c r="J363" i="5"/>
  <c r="M363" i="5"/>
  <c r="P363" i="5"/>
  <c r="S363" i="5"/>
  <c r="V363" i="5"/>
  <c r="G363" i="5"/>
  <c r="V357" i="5"/>
  <c r="G357" i="5"/>
  <c r="J357" i="5"/>
  <c r="M357" i="5"/>
  <c r="P357" i="5"/>
  <c r="S357" i="5"/>
  <c r="G351" i="5"/>
  <c r="J351" i="5"/>
  <c r="M351" i="5"/>
  <c r="P351" i="5"/>
  <c r="S351" i="5"/>
  <c r="V351" i="5"/>
  <c r="S345" i="5"/>
  <c r="V345" i="5"/>
  <c r="G345" i="5"/>
  <c r="J345" i="5"/>
  <c r="M345" i="5"/>
  <c r="P345" i="5"/>
  <c r="G339" i="5"/>
  <c r="J339" i="5"/>
  <c r="M339" i="5"/>
  <c r="P339" i="5"/>
  <c r="S339" i="5"/>
  <c r="V339" i="5"/>
  <c r="S333" i="5"/>
  <c r="V333" i="5"/>
  <c r="P333" i="5"/>
  <c r="G333" i="5"/>
  <c r="J333" i="5"/>
  <c r="M333" i="5"/>
  <c r="G327" i="5"/>
  <c r="J327" i="5"/>
  <c r="M327" i="5"/>
  <c r="P327" i="5"/>
  <c r="S327" i="5"/>
  <c r="V327" i="5"/>
  <c r="S321" i="5"/>
  <c r="V321" i="5"/>
  <c r="P321" i="5"/>
  <c r="G321" i="5"/>
  <c r="J321" i="5"/>
  <c r="M321" i="5"/>
  <c r="G315" i="5"/>
  <c r="J315" i="5"/>
  <c r="M315" i="5"/>
  <c r="P315" i="5"/>
  <c r="S315" i="5"/>
  <c r="V315" i="5"/>
  <c r="S309" i="5"/>
  <c r="V309" i="5"/>
  <c r="G309" i="5"/>
  <c r="J309" i="5"/>
  <c r="M309" i="5"/>
  <c r="P309" i="5"/>
  <c r="G303" i="5"/>
  <c r="J303" i="5"/>
  <c r="M303" i="5"/>
  <c r="P303" i="5"/>
  <c r="S303" i="5"/>
  <c r="V303" i="5"/>
  <c r="S297" i="5"/>
  <c r="V297" i="5"/>
  <c r="G297" i="5"/>
  <c r="J297" i="5"/>
  <c r="M297" i="5"/>
  <c r="P297" i="5"/>
  <c r="G291" i="5"/>
  <c r="J291" i="5"/>
  <c r="M291" i="5"/>
  <c r="P291" i="5"/>
  <c r="S291" i="5"/>
  <c r="V291" i="5"/>
  <c r="S285" i="5"/>
  <c r="V285" i="5"/>
  <c r="G285" i="5"/>
  <c r="J285" i="5"/>
  <c r="M285" i="5"/>
  <c r="P285" i="5"/>
  <c r="G279" i="5"/>
  <c r="J279" i="5"/>
  <c r="M279" i="5"/>
  <c r="P279" i="5"/>
  <c r="S279" i="5"/>
  <c r="V279" i="5"/>
  <c r="S273" i="5"/>
  <c r="V273" i="5"/>
  <c r="G273" i="5"/>
  <c r="J273" i="5"/>
  <c r="M273" i="5"/>
  <c r="P273" i="5"/>
  <c r="G267" i="5"/>
  <c r="J267" i="5"/>
  <c r="M267" i="5"/>
  <c r="P267" i="5"/>
  <c r="S267" i="5"/>
  <c r="V267" i="5"/>
  <c r="S261" i="5"/>
  <c r="V261" i="5"/>
  <c r="G261" i="5"/>
  <c r="J261" i="5"/>
  <c r="M261" i="5"/>
  <c r="P261" i="5"/>
  <c r="G255" i="5"/>
  <c r="J255" i="5"/>
  <c r="M255" i="5"/>
  <c r="P255" i="5"/>
  <c r="S255" i="5"/>
  <c r="V255" i="5"/>
  <c r="S249" i="5"/>
  <c r="V249" i="5"/>
  <c r="G249" i="5"/>
  <c r="J249" i="5"/>
  <c r="M249" i="5"/>
  <c r="P249" i="5"/>
  <c r="G243" i="5"/>
  <c r="J243" i="5"/>
  <c r="M243" i="5"/>
  <c r="P243" i="5"/>
  <c r="S243" i="5"/>
  <c r="V243" i="5"/>
  <c r="J574" i="5"/>
  <c r="V572" i="5"/>
  <c r="P571" i="5"/>
  <c r="J570" i="5"/>
  <c r="N567" i="5"/>
  <c r="G566" i="5"/>
  <c r="J563" i="5"/>
  <c r="R561" i="5"/>
  <c r="F560" i="5"/>
  <c r="Q557" i="5"/>
  <c r="G555" i="5"/>
  <c r="N545" i="5"/>
  <c r="V540" i="5"/>
  <c r="U533" i="5"/>
  <c r="S528" i="5"/>
  <c r="T526" i="5"/>
  <c r="J524" i="5"/>
  <c r="R521" i="5"/>
  <c r="H517" i="5"/>
  <c r="Q514" i="5"/>
  <c r="J496" i="5"/>
  <c r="Q492" i="5"/>
  <c r="T488" i="5"/>
  <c r="N484" i="5"/>
  <c r="E480" i="5"/>
  <c r="M474" i="5"/>
  <c r="T463" i="5"/>
  <c r="H448" i="5"/>
  <c r="J436" i="5"/>
  <c r="S425" i="5"/>
  <c r="N408" i="5"/>
  <c r="O377" i="5"/>
  <c r="L555" i="5"/>
  <c r="O555" i="5"/>
  <c r="R555" i="5"/>
  <c r="F543" i="5"/>
  <c r="I543" i="5"/>
  <c r="I537" i="5"/>
  <c r="L537" i="5"/>
  <c r="O537" i="5"/>
  <c r="R537" i="5"/>
  <c r="R531" i="5"/>
  <c r="U531" i="5"/>
  <c r="F525" i="5"/>
  <c r="I525" i="5"/>
  <c r="I519" i="5"/>
  <c r="L519" i="5"/>
  <c r="O519" i="5"/>
  <c r="R513" i="5"/>
  <c r="U513" i="5"/>
  <c r="F507" i="5"/>
  <c r="I507" i="5"/>
  <c r="F501" i="5"/>
  <c r="I501" i="5"/>
  <c r="L501" i="5"/>
  <c r="O501" i="5"/>
  <c r="O495" i="5"/>
  <c r="R495" i="5"/>
  <c r="U495" i="5"/>
  <c r="I489" i="5"/>
  <c r="L489" i="5"/>
  <c r="O489" i="5"/>
  <c r="F489" i="5"/>
  <c r="R489" i="5"/>
  <c r="U489" i="5"/>
  <c r="O483" i="5"/>
  <c r="R483" i="5"/>
  <c r="F483" i="5"/>
  <c r="I483" i="5"/>
  <c r="L483" i="5"/>
  <c r="U483" i="5"/>
  <c r="R477" i="5"/>
  <c r="U477" i="5"/>
  <c r="F477" i="5"/>
  <c r="I477" i="5"/>
  <c r="L477" i="5"/>
  <c r="U471" i="5"/>
  <c r="F471" i="5"/>
  <c r="I471" i="5"/>
  <c r="L471" i="5"/>
  <c r="R471" i="5"/>
  <c r="F465" i="5"/>
  <c r="L465" i="5"/>
  <c r="F459" i="5"/>
  <c r="I459" i="5"/>
  <c r="L459" i="5"/>
  <c r="O459" i="5"/>
  <c r="R459" i="5"/>
  <c r="F453" i="5"/>
  <c r="I453" i="5"/>
  <c r="L453" i="5"/>
  <c r="O453" i="5"/>
  <c r="R453" i="5"/>
  <c r="U453" i="5"/>
  <c r="F447" i="5"/>
  <c r="I447" i="5"/>
  <c r="L447" i="5"/>
  <c r="O447" i="5"/>
  <c r="R447" i="5"/>
  <c r="U447" i="5"/>
  <c r="L441" i="5"/>
  <c r="O441" i="5"/>
  <c r="R441" i="5"/>
  <c r="U441" i="5"/>
  <c r="F441" i="5"/>
  <c r="O435" i="5"/>
  <c r="R435" i="5"/>
  <c r="U435" i="5"/>
  <c r="F435" i="5"/>
  <c r="R429" i="5"/>
  <c r="U429" i="5"/>
  <c r="O429" i="5"/>
  <c r="F429" i="5"/>
  <c r="L423" i="5"/>
  <c r="F423" i="5"/>
  <c r="I423" i="5"/>
  <c r="O423" i="5"/>
  <c r="R423" i="5"/>
  <c r="U423" i="5"/>
  <c r="R417" i="5"/>
  <c r="U417" i="5"/>
  <c r="F417" i="5"/>
  <c r="I417" i="5"/>
  <c r="L417" i="5"/>
  <c r="L411" i="5"/>
  <c r="F411" i="5"/>
  <c r="I411" i="5"/>
  <c r="O411" i="5"/>
  <c r="R411" i="5"/>
  <c r="U411" i="5"/>
  <c r="L405" i="5"/>
  <c r="O405" i="5"/>
  <c r="R405" i="5"/>
  <c r="U405" i="5"/>
  <c r="F405" i="5"/>
  <c r="I405" i="5"/>
  <c r="L399" i="5"/>
  <c r="F399" i="5"/>
  <c r="I399" i="5"/>
  <c r="O399" i="5"/>
  <c r="R399" i="5"/>
  <c r="U399" i="5"/>
  <c r="F393" i="5"/>
  <c r="I393" i="5"/>
  <c r="L393" i="5"/>
  <c r="O393" i="5"/>
  <c r="R393" i="5"/>
  <c r="U393" i="5"/>
  <c r="L387" i="5"/>
  <c r="O387" i="5"/>
  <c r="R387" i="5"/>
  <c r="F387" i="5"/>
  <c r="I387" i="5"/>
  <c r="U387" i="5"/>
  <c r="F381" i="5"/>
  <c r="I381" i="5"/>
  <c r="L381" i="5"/>
  <c r="O381" i="5"/>
  <c r="R381" i="5"/>
  <c r="U381" i="5"/>
  <c r="L375" i="5"/>
  <c r="O375" i="5"/>
  <c r="R375" i="5"/>
  <c r="U375" i="5"/>
  <c r="F375" i="5"/>
  <c r="I375" i="5"/>
  <c r="F369" i="5"/>
  <c r="I369" i="5"/>
  <c r="L369" i="5"/>
  <c r="O369" i="5"/>
  <c r="R369" i="5"/>
  <c r="U369" i="5"/>
  <c r="L363" i="5"/>
  <c r="O363" i="5"/>
  <c r="R363" i="5"/>
  <c r="U363" i="5"/>
  <c r="F363" i="5"/>
  <c r="I363" i="5"/>
  <c r="F357" i="5"/>
  <c r="I357" i="5"/>
  <c r="L357" i="5"/>
  <c r="O357" i="5"/>
  <c r="R357" i="5"/>
  <c r="U357" i="5"/>
  <c r="F351" i="5"/>
  <c r="I351" i="5"/>
  <c r="L351" i="5"/>
  <c r="O351" i="5"/>
  <c r="R351" i="5"/>
  <c r="U351" i="5"/>
  <c r="R345" i="5"/>
  <c r="U345" i="5"/>
  <c r="F345" i="5"/>
  <c r="I345" i="5"/>
  <c r="L345" i="5"/>
  <c r="O345" i="5"/>
  <c r="F339" i="5"/>
  <c r="I339" i="5"/>
  <c r="L339" i="5"/>
  <c r="O339" i="5"/>
  <c r="R339" i="5"/>
  <c r="U339" i="5"/>
  <c r="R333" i="5"/>
  <c r="U333" i="5"/>
  <c r="F333" i="5"/>
  <c r="I333" i="5"/>
  <c r="L333" i="5"/>
  <c r="O333" i="5"/>
  <c r="F327" i="5"/>
  <c r="I327" i="5"/>
  <c r="L327" i="5"/>
  <c r="O327" i="5"/>
  <c r="R327" i="5"/>
  <c r="U327" i="5"/>
  <c r="R321" i="5"/>
  <c r="U321" i="5"/>
  <c r="F321" i="5"/>
  <c r="I321" i="5"/>
  <c r="L321" i="5"/>
  <c r="O321" i="5"/>
  <c r="F315" i="5"/>
  <c r="I315" i="5"/>
  <c r="L315" i="5"/>
  <c r="O315" i="5"/>
  <c r="R315" i="5"/>
  <c r="U315" i="5"/>
  <c r="R309" i="5"/>
  <c r="U309" i="5"/>
  <c r="F309" i="5"/>
  <c r="I309" i="5"/>
  <c r="L309" i="5"/>
  <c r="O309" i="5"/>
  <c r="F303" i="5"/>
  <c r="I303" i="5"/>
  <c r="L303" i="5"/>
  <c r="O303" i="5"/>
  <c r="R303" i="5"/>
  <c r="U303" i="5"/>
  <c r="R297" i="5"/>
  <c r="U297" i="5"/>
  <c r="F297" i="5"/>
  <c r="L297" i="5"/>
  <c r="O297" i="5"/>
  <c r="I297" i="5"/>
  <c r="F291" i="5"/>
  <c r="I291" i="5"/>
  <c r="L291" i="5"/>
  <c r="O291" i="5"/>
  <c r="R291" i="5"/>
  <c r="U291" i="5"/>
  <c r="R285" i="5"/>
  <c r="U285" i="5"/>
  <c r="F285" i="5"/>
  <c r="I285" i="5"/>
  <c r="L285" i="5"/>
  <c r="O285" i="5"/>
  <c r="F279" i="5"/>
  <c r="I279" i="5"/>
  <c r="L279" i="5"/>
  <c r="O279" i="5"/>
  <c r="R279" i="5"/>
  <c r="U279" i="5"/>
  <c r="R273" i="5"/>
  <c r="U273" i="5"/>
  <c r="F273" i="5"/>
  <c r="I273" i="5"/>
  <c r="O273" i="5"/>
  <c r="L273" i="5"/>
  <c r="F267" i="5"/>
  <c r="I267" i="5"/>
  <c r="L267" i="5"/>
  <c r="O267" i="5"/>
  <c r="R267" i="5"/>
  <c r="U267" i="5"/>
  <c r="R261" i="5"/>
  <c r="U261" i="5"/>
  <c r="F261" i="5"/>
  <c r="I261" i="5"/>
  <c r="O261" i="5"/>
  <c r="L261" i="5"/>
  <c r="F255" i="5"/>
  <c r="I255" i="5"/>
  <c r="L255" i="5"/>
  <c r="O255" i="5"/>
  <c r="R255" i="5"/>
  <c r="U255" i="5"/>
  <c r="R249" i="5"/>
  <c r="U249" i="5"/>
  <c r="F249" i="5"/>
  <c r="I249" i="5"/>
  <c r="L249" i="5"/>
  <c r="O249" i="5"/>
  <c r="F243" i="5"/>
  <c r="I243" i="5"/>
  <c r="L243" i="5"/>
  <c r="O243" i="5"/>
  <c r="R243" i="5"/>
  <c r="U243" i="5"/>
  <c r="U572" i="5"/>
  <c r="O571" i="5"/>
  <c r="T568" i="5"/>
  <c r="M567" i="5"/>
  <c r="F566" i="5"/>
  <c r="Q564" i="5"/>
  <c r="I563" i="5"/>
  <c r="Q561" i="5"/>
  <c r="U559" i="5"/>
  <c r="P557" i="5"/>
  <c r="F555" i="5"/>
  <c r="N552" i="5"/>
  <c r="N550" i="5"/>
  <c r="M545" i="5"/>
  <c r="M543" i="5"/>
  <c r="K538" i="5"/>
  <c r="S535" i="5"/>
  <c r="T533" i="5"/>
  <c r="J531" i="5"/>
  <c r="S526" i="5"/>
  <c r="I524" i="5"/>
  <c r="Q521" i="5"/>
  <c r="G519" i="5"/>
  <c r="E510" i="5"/>
  <c r="J507" i="5"/>
  <c r="N504" i="5"/>
  <c r="R501" i="5"/>
  <c r="V498" i="5"/>
  <c r="H496" i="5"/>
  <c r="P492" i="5"/>
  <c r="M484" i="5"/>
  <c r="U479" i="5"/>
  <c r="U469" i="5"/>
  <c r="V456" i="5"/>
  <c r="G448" i="5"/>
  <c r="R425" i="5"/>
  <c r="N377" i="5"/>
  <c r="K555" i="5"/>
  <c r="N555" i="5"/>
  <c r="Q555" i="5"/>
  <c r="T555" i="5"/>
  <c r="E543" i="5"/>
  <c r="H543" i="5"/>
  <c r="K543" i="5"/>
  <c r="K537" i="5"/>
  <c r="N537" i="5"/>
  <c r="Q537" i="5"/>
  <c r="Q531" i="5"/>
  <c r="T531" i="5"/>
  <c r="E525" i="5"/>
  <c r="H525" i="5"/>
  <c r="H519" i="5"/>
  <c r="K519" i="5"/>
  <c r="N519" i="5"/>
  <c r="Q519" i="5"/>
  <c r="Q513" i="5"/>
  <c r="T513" i="5"/>
  <c r="E507" i="5"/>
  <c r="H507" i="5"/>
  <c r="K507" i="5"/>
  <c r="H501" i="5"/>
  <c r="K501" i="5"/>
  <c r="N501" i="5"/>
  <c r="Q501" i="5"/>
  <c r="N495" i="5"/>
  <c r="Q495" i="5"/>
  <c r="T495" i="5"/>
  <c r="K489" i="5"/>
  <c r="N489" i="5"/>
  <c r="E489" i="5"/>
  <c r="H489" i="5"/>
  <c r="Q489" i="5"/>
  <c r="T489" i="5"/>
  <c r="K483" i="5"/>
  <c r="N483" i="5"/>
  <c r="Q483" i="5"/>
  <c r="T483" i="5"/>
  <c r="E483" i="5"/>
  <c r="H483" i="5"/>
  <c r="Q477" i="5"/>
  <c r="T477" i="5"/>
  <c r="E477" i="5"/>
  <c r="H477" i="5"/>
  <c r="K477" i="5"/>
  <c r="N477" i="5"/>
  <c r="K471" i="5"/>
  <c r="T471" i="5"/>
  <c r="E471" i="5"/>
  <c r="H471" i="5"/>
  <c r="N471" i="5"/>
  <c r="E465" i="5"/>
  <c r="H465" i="5"/>
  <c r="K459" i="5"/>
  <c r="E459" i="5"/>
  <c r="H459" i="5"/>
  <c r="N459" i="5"/>
  <c r="E453" i="5"/>
  <c r="H453" i="5"/>
  <c r="K453" i="5"/>
  <c r="N453" i="5"/>
  <c r="Q453" i="5"/>
  <c r="T453" i="5"/>
  <c r="K447" i="5"/>
  <c r="H447" i="5"/>
  <c r="N447" i="5"/>
  <c r="Q447" i="5"/>
  <c r="T447" i="5"/>
  <c r="E447" i="5"/>
  <c r="K441" i="5"/>
  <c r="N441" i="5"/>
  <c r="Q441" i="5"/>
  <c r="T441" i="5"/>
  <c r="E441" i="5"/>
  <c r="H441" i="5"/>
  <c r="K435" i="5"/>
  <c r="N435" i="5"/>
  <c r="Q435" i="5"/>
  <c r="T435" i="5"/>
  <c r="E435" i="5"/>
  <c r="Q429" i="5"/>
  <c r="T429" i="5"/>
  <c r="N429" i="5"/>
  <c r="E429" i="5"/>
  <c r="K423" i="5"/>
  <c r="N423" i="5"/>
  <c r="Q423" i="5"/>
  <c r="E423" i="5"/>
  <c r="H423" i="5"/>
  <c r="T423" i="5"/>
  <c r="E417" i="5"/>
  <c r="Q417" i="5"/>
  <c r="T417" i="5"/>
  <c r="H417" i="5"/>
  <c r="K417" i="5"/>
  <c r="K411" i="5"/>
  <c r="N411" i="5"/>
  <c r="Q411" i="5"/>
  <c r="E411" i="5"/>
  <c r="H411" i="5"/>
  <c r="T411" i="5"/>
  <c r="E405" i="5"/>
  <c r="K405" i="5"/>
  <c r="N405" i="5"/>
  <c r="Q405" i="5"/>
  <c r="T405" i="5"/>
  <c r="H405" i="5"/>
  <c r="K399" i="5"/>
  <c r="N399" i="5"/>
  <c r="Q399" i="5"/>
  <c r="E399" i="5"/>
  <c r="H399" i="5"/>
  <c r="T399" i="5"/>
  <c r="E393" i="5"/>
  <c r="H393" i="5"/>
  <c r="K393" i="5"/>
  <c r="N393" i="5"/>
  <c r="Q393" i="5"/>
  <c r="T393" i="5"/>
  <c r="K387" i="5"/>
  <c r="N387" i="5"/>
  <c r="Q387" i="5"/>
  <c r="T387" i="5"/>
  <c r="E387" i="5"/>
  <c r="H387" i="5"/>
  <c r="E381" i="5"/>
  <c r="H381" i="5"/>
  <c r="K381" i="5"/>
  <c r="N381" i="5"/>
  <c r="Q381" i="5"/>
  <c r="T381" i="5"/>
  <c r="K375" i="5"/>
  <c r="N375" i="5"/>
  <c r="Q375" i="5"/>
  <c r="T375" i="5"/>
  <c r="E375" i="5"/>
  <c r="H375" i="5"/>
  <c r="E369" i="5"/>
  <c r="H369" i="5"/>
  <c r="K369" i="5"/>
  <c r="N369" i="5"/>
  <c r="Q369" i="5"/>
  <c r="T369" i="5"/>
  <c r="K363" i="5"/>
  <c r="N363" i="5"/>
  <c r="Q363" i="5"/>
  <c r="T363" i="5"/>
  <c r="E363" i="5"/>
  <c r="H363" i="5"/>
  <c r="E357" i="5"/>
  <c r="H357" i="5"/>
  <c r="K357" i="5"/>
  <c r="N357" i="5"/>
  <c r="Q357" i="5"/>
  <c r="T357" i="5"/>
  <c r="E351" i="5"/>
  <c r="H351" i="5"/>
  <c r="K351" i="5"/>
  <c r="N351" i="5"/>
  <c r="Q351" i="5"/>
  <c r="T351" i="5"/>
  <c r="Q345" i="5"/>
  <c r="T345" i="5"/>
  <c r="H345" i="5"/>
  <c r="K345" i="5"/>
  <c r="N345" i="5"/>
  <c r="E345" i="5"/>
  <c r="E339" i="5"/>
  <c r="H339" i="5"/>
  <c r="K339" i="5"/>
  <c r="N339" i="5"/>
  <c r="Q339" i="5"/>
  <c r="T339" i="5"/>
  <c r="Q333" i="5"/>
  <c r="T333" i="5"/>
  <c r="E333" i="5"/>
  <c r="H333" i="5"/>
  <c r="K333" i="5"/>
  <c r="N333" i="5"/>
  <c r="E327" i="5"/>
  <c r="H327" i="5"/>
  <c r="K327" i="5"/>
  <c r="N327" i="5"/>
  <c r="Q327" i="5"/>
  <c r="T327" i="5"/>
  <c r="Q321" i="5"/>
  <c r="T321" i="5"/>
  <c r="E321" i="5"/>
  <c r="H321" i="5"/>
  <c r="K321" i="5"/>
  <c r="N321" i="5"/>
  <c r="E315" i="5"/>
  <c r="H315" i="5"/>
  <c r="K315" i="5"/>
  <c r="N315" i="5"/>
  <c r="Q315" i="5"/>
  <c r="T315" i="5"/>
  <c r="Q309" i="5"/>
  <c r="T309" i="5"/>
  <c r="E309" i="5"/>
  <c r="H309" i="5"/>
  <c r="K309" i="5"/>
  <c r="N309" i="5"/>
  <c r="E303" i="5"/>
  <c r="H303" i="5"/>
  <c r="K303" i="5"/>
  <c r="N303" i="5"/>
  <c r="Q303" i="5"/>
  <c r="T303" i="5"/>
  <c r="Q297" i="5"/>
  <c r="T297" i="5"/>
  <c r="E297" i="5"/>
  <c r="H297" i="5"/>
  <c r="K297" i="5"/>
  <c r="N297" i="5"/>
  <c r="E291" i="5"/>
  <c r="H291" i="5"/>
  <c r="K291" i="5"/>
  <c r="N291" i="5"/>
  <c r="Q291" i="5"/>
  <c r="T291" i="5"/>
  <c r="Q285" i="5"/>
  <c r="T285" i="5"/>
  <c r="E285" i="5"/>
  <c r="H285" i="5"/>
  <c r="K285" i="5"/>
  <c r="N285" i="5"/>
  <c r="E279" i="5"/>
  <c r="H279" i="5"/>
  <c r="K279" i="5"/>
  <c r="N279" i="5"/>
  <c r="Q279" i="5"/>
  <c r="T279" i="5"/>
  <c r="Q273" i="5"/>
  <c r="T273" i="5"/>
  <c r="E273" i="5"/>
  <c r="H273" i="5"/>
  <c r="N273" i="5"/>
  <c r="K273" i="5"/>
  <c r="E267" i="5"/>
  <c r="H267" i="5"/>
  <c r="K267" i="5"/>
  <c r="N267" i="5"/>
  <c r="Q267" i="5"/>
  <c r="T267" i="5"/>
  <c r="Q261" i="5"/>
  <c r="T261" i="5"/>
  <c r="E261" i="5"/>
  <c r="H261" i="5"/>
  <c r="K261" i="5"/>
  <c r="N261" i="5"/>
  <c r="E255" i="5"/>
  <c r="H255" i="5"/>
  <c r="K255" i="5"/>
  <c r="N255" i="5"/>
  <c r="Q255" i="5"/>
  <c r="T255" i="5"/>
  <c r="Q249" i="5"/>
  <c r="T249" i="5"/>
  <c r="E249" i="5"/>
  <c r="H249" i="5"/>
  <c r="K249" i="5"/>
  <c r="N249" i="5"/>
  <c r="E243" i="5"/>
  <c r="H243" i="5"/>
  <c r="K243" i="5"/>
  <c r="N243" i="5"/>
  <c r="Q243" i="5"/>
  <c r="T243" i="5"/>
  <c r="H574" i="5"/>
  <c r="T572" i="5"/>
  <c r="N571" i="5"/>
  <c r="H570" i="5"/>
  <c r="S568" i="5"/>
  <c r="L567" i="5"/>
  <c r="E566" i="5"/>
  <c r="P564" i="5"/>
  <c r="H563" i="5"/>
  <c r="P561" i="5"/>
  <c r="T559" i="5"/>
  <c r="O557" i="5"/>
  <c r="E555" i="5"/>
  <c r="M552" i="5"/>
  <c r="M550" i="5"/>
  <c r="U547" i="5"/>
  <c r="L545" i="5"/>
  <c r="L543" i="5"/>
  <c r="T540" i="5"/>
  <c r="J538" i="5"/>
  <c r="R535" i="5"/>
  <c r="S533" i="5"/>
  <c r="I531" i="5"/>
  <c r="Q528" i="5"/>
  <c r="H524" i="5"/>
  <c r="P521" i="5"/>
  <c r="F519" i="5"/>
  <c r="F517" i="5"/>
  <c r="N514" i="5"/>
  <c r="L509" i="5"/>
  <c r="S503" i="5"/>
  <c r="E501" i="5"/>
  <c r="M495" i="5"/>
  <c r="R488" i="5"/>
  <c r="K474" i="5"/>
  <c r="M435" i="5"/>
  <c r="M365" i="5"/>
  <c r="G574" i="5"/>
  <c r="S572" i="5"/>
  <c r="M571" i="5"/>
  <c r="G570" i="5"/>
  <c r="K567" i="5"/>
  <c r="V565" i="5"/>
  <c r="G563" i="5"/>
  <c r="O561" i="5"/>
  <c r="M559" i="5"/>
  <c r="N557" i="5"/>
  <c r="T547" i="5"/>
  <c r="K545" i="5"/>
  <c r="S540" i="5"/>
  <c r="Q535" i="5"/>
  <c r="R533" i="5"/>
  <c r="H531" i="5"/>
  <c r="P528" i="5"/>
  <c r="O521" i="5"/>
  <c r="E519" i="5"/>
  <c r="E517" i="5"/>
  <c r="M514" i="5"/>
  <c r="U511" i="5"/>
  <c r="K509" i="5"/>
  <c r="R503" i="5"/>
  <c r="H498" i="5"/>
  <c r="L495" i="5"/>
  <c r="N492" i="5"/>
  <c r="Q488" i="5"/>
  <c r="K484" i="5"/>
  <c r="Q478" i="5"/>
  <c r="V462" i="5"/>
  <c r="G455" i="5"/>
  <c r="L445" i="5"/>
  <c r="L435" i="5"/>
  <c r="U404" i="5"/>
  <c r="L365" i="5"/>
  <c r="P554" i="5"/>
  <c r="G554" i="5"/>
  <c r="J554" i="5"/>
  <c r="M554" i="5"/>
  <c r="M548" i="5"/>
  <c r="P548" i="5"/>
  <c r="S548" i="5"/>
  <c r="P542" i="5"/>
  <c r="V542" i="5"/>
  <c r="G536" i="5"/>
  <c r="J536" i="5"/>
  <c r="P530" i="5"/>
  <c r="J530" i="5"/>
  <c r="M530" i="5"/>
  <c r="S530" i="5"/>
  <c r="S524" i="5"/>
  <c r="V524" i="5"/>
  <c r="P518" i="5"/>
  <c r="G518" i="5"/>
  <c r="J518" i="5"/>
  <c r="J512" i="5"/>
  <c r="M512" i="5"/>
  <c r="P512" i="5"/>
  <c r="P506" i="5"/>
  <c r="S506" i="5"/>
  <c r="V506" i="5"/>
  <c r="G500" i="5"/>
  <c r="J500" i="5"/>
  <c r="P494" i="5"/>
  <c r="G494" i="5"/>
  <c r="J494" i="5"/>
  <c r="M494" i="5"/>
  <c r="V494" i="5"/>
  <c r="P488" i="5"/>
  <c r="G488" i="5"/>
  <c r="J488" i="5"/>
  <c r="G482" i="5"/>
  <c r="J482" i="5"/>
  <c r="V482" i="5"/>
  <c r="M482" i="5"/>
  <c r="P476" i="5"/>
  <c r="J476" i="5"/>
  <c r="M476" i="5"/>
  <c r="V476" i="5"/>
  <c r="M470" i="5"/>
  <c r="P470" i="5"/>
  <c r="V470" i="5"/>
  <c r="P464" i="5"/>
  <c r="S464" i="5"/>
  <c r="V464" i="5"/>
  <c r="G464" i="5"/>
  <c r="J464" i="5"/>
  <c r="M464" i="5"/>
  <c r="S458" i="5"/>
  <c r="V458" i="5"/>
  <c r="J458" i="5"/>
  <c r="M458" i="5"/>
  <c r="P458" i="5"/>
  <c r="P452" i="5"/>
  <c r="V452" i="5"/>
  <c r="G452" i="5"/>
  <c r="J452" i="5"/>
  <c r="M452" i="5"/>
  <c r="S452" i="5"/>
  <c r="G446" i="5"/>
  <c r="J446" i="5"/>
  <c r="M446" i="5"/>
  <c r="P446" i="5"/>
  <c r="S446" i="5"/>
  <c r="V446" i="5"/>
  <c r="P440" i="5"/>
  <c r="G440" i="5"/>
  <c r="J440" i="5"/>
  <c r="M440" i="5"/>
  <c r="S440" i="5"/>
  <c r="V440" i="5"/>
  <c r="G434" i="5"/>
  <c r="J434" i="5"/>
  <c r="M434" i="5"/>
  <c r="P434" i="5"/>
  <c r="S434" i="5"/>
  <c r="V434" i="5"/>
  <c r="P428" i="5"/>
  <c r="G428" i="5"/>
  <c r="J428" i="5"/>
  <c r="M428" i="5"/>
  <c r="S428" i="5"/>
  <c r="V428" i="5"/>
  <c r="G422" i="5"/>
  <c r="J422" i="5"/>
  <c r="S422" i="5"/>
  <c r="V422" i="5"/>
  <c r="M422" i="5"/>
  <c r="P416" i="5"/>
  <c r="S416" i="5"/>
  <c r="G416" i="5"/>
  <c r="J416" i="5"/>
  <c r="M416" i="5"/>
  <c r="V416" i="5"/>
  <c r="G410" i="5"/>
  <c r="S410" i="5"/>
  <c r="V410" i="5"/>
  <c r="M410" i="5"/>
  <c r="P410" i="5"/>
  <c r="P404" i="5"/>
  <c r="S404" i="5"/>
  <c r="G404" i="5"/>
  <c r="J404" i="5"/>
  <c r="M404" i="5"/>
  <c r="G398" i="5"/>
  <c r="J398" i="5"/>
  <c r="M398" i="5"/>
  <c r="P398" i="5"/>
  <c r="S398" i="5"/>
  <c r="V398" i="5"/>
  <c r="P392" i="5"/>
  <c r="S392" i="5"/>
  <c r="M392" i="5"/>
  <c r="V392" i="5"/>
  <c r="G392" i="5"/>
  <c r="J392" i="5"/>
  <c r="G386" i="5"/>
  <c r="M386" i="5"/>
  <c r="P386" i="5"/>
  <c r="J386" i="5"/>
  <c r="S386" i="5"/>
  <c r="V386" i="5"/>
  <c r="P380" i="5"/>
  <c r="S380" i="5"/>
  <c r="V380" i="5"/>
  <c r="M380" i="5"/>
  <c r="J380" i="5"/>
  <c r="G374" i="5"/>
  <c r="J374" i="5"/>
  <c r="M374" i="5"/>
  <c r="P374" i="5"/>
  <c r="V374" i="5"/>
  <c r="S374" i="5"/>
  <c r="P368" i="5"/>
  <c r="S368" i="5"/>
  <c r="V368" i="5"/>
  <c r="M368" i="5"/>
  <c r="G368" i="5"/>
  <c r="J368" i="5"/>
  <c r="G362" i="5"/>
  <c r="J362" i="5"/>
  <c r="M362" i="5"/>
  <c r="P362" i="5"/>
  <c r="S362" i="5"/>
  <c r="V362" i="5"/>
  <c r="P356" i="5"/>
  <c r="S356" i="5"/>
  <c r="V356" i="5"/>
  <c r="G356" i="5"/>
  <c r="J356" i="5"/>
  <c r="M356" i="5"/>
  <c r="G350" i="5"/>
  <c r="V350" i="5"/>
  <c r="J350" i="5"/>
  <c r="S350" i="5"/>
  <c r="M350" i="5"/>
  <c r="P350" i="5"/>
  <c r="M344" i="5"/>
  <c r="P344" i="5"/>
  <c r="S344" i="5"/>
  <c r="G344" i="5"/>
  <c r="V344" i="5"/>
  <c r="G338" i="5"/>
  <c r="J338" i="5"/>
  <c r="S338" i="5"/>
  <c r="V338" i="5"/>
  <c r="M338" i="5"/>
  <c r="P338" i="5"/>
  <c r="M332" i="5"/>
  <c r="P332" i="5"/>
  <c r="S332" i="5"/>
  <c r="V332" i="5"/>
  <c r="G332" i="5"/>
  <c r="J332" i="5"/>
  <c r="G326" i="5"/>
  <c r="J326" i="5"/>
  <c r="M326" i="5"/>
  <c r="P326" i="5"/>
  <c r="S326" i="5"/>
  <c r="V326" i="5"/>
  <c r="M320" i="5"/>
  <c r="P320" i="5"/>
  <c r="S320" i="5"/>
  <c r="V320" i="5"/>
  <c r="G320" i="5"/>
  <c r="J320" i="5"/>
  <c r="G314" i="5"/>
  <c r="J314" i="5"/>
  <c r="M314" i="5"/>
  <c r="V314" i="5"/>
  <c r="S314" i="5"/>
  <c r="P314" i="5"/>
  <c r="M308" i="5"/>
  <c r="P308" i="5"/>
  <c r="S308" i="5"/>
  <c r="V308" i="5"/>
  <c r="G308" i="5"/>
  <c r="J308" i="5"/>
  <c r="G302" i="5"/>
  <c r="J302" i="5"/>
  <c r="M302" i="5"/>
  <c r="P302" i="5"/>
  <c r="S302" i="5"/>
  <c r="V302" i="5"/>
  <c r="M296" i="5"/>
  <c r="P296" i="5"/>
  <c r="S296" i="5"/>
  <c r="V296" i="5"/>
  <c r="G296" i="5"/>
  <c r="J296" i="5"/>
  <c r="G290" i="5"/>
  <c r="J290" i="5"/>
  <c r="M290" i="5"/>
  <c r="P290" i="5"/>
  <c r="S290" i="5"/>
  <c r="V290" i="5"/>
  <c r="M284" i="5"/>
  <c r="P284" i="5"/>
  <c r="S284" i="5"/>
  <c r="V284" i="5"/>
  <c r="G284" i="5"/>
  <c r="J284" i="5"/>
  <c r="G278" i="5"/>
  <c r="J278" i="5"/>
  <c r="M278" i="5"/>
  <c r="P278" i="5"/>
  <c r="S278" i="5"/>
  <c r="V278" i="5"/>
  <c r="M272" i="5"/>
  <c r="P272" i="5"/>
  <c r="S272" i="5"/>
  <c r="V272" i="5"/>
  <c r="G272" i="5"/>
  <c r="J272" i="5"/>
  <c r="G266" i="5"/>
  <c r="J266" i="5"/>
  <c r="M266" i="5"/>
  <c r="P266" i="5"/>
  <c r="S266" i="5"/>
  <c r="V266" i="5"/>
  <c r="M260" i="5"/>
  <c r="P260" i="5"/>
  <c r="S260" i="5"/>
  <c r="V260" i="5"/>
  <c r="G260" i="5"/>
  <c r="J260" i="5"/>
  <c r="G254" i="5"/>
  <c r="J254" i="5"/>
  <c r="M254" i="5"/>
  <c r="P254" i="5"/>
  <c r="V254" i="5"/>
  <c r="S254" i="5"/>
  <c r="M248" i="5"/>
  <c r="P248" i="5"/>
  <c r="S248" i="5"/>
  <c r="V248" i="5"/>
  <c r="J248" i="5"/>
  <c r="G248" i="5"/>
  <c r="G242" i="5"/>
  <c r="J242" i="5"/>
  <c r="M242" i="5"/>
  <c r="P242" i="5"/>
  <c r="S242" i="5"/>
  <c r="V242" i="5"/>
  <c r="R572" i="5"/>
  <c r="L571" i="5"/>
  <c r="Q568" i="5"/>
  <c r="J567" i="5"/>
  <c r="U565" i="5"/>
  <c r="N564" i="5"/>
  <c r="F563" i="5"/>
  <c r="N561" i="5"/>
  <c r="L559" i="5"/>
  <c r="M557" i="5"/>
  <c r="K552" i="5"/>
  <c r="K550" i="5"/>
  <c r="S547" i="5"/>
  <c r="I545" i="5"/>
  <c r="R542" i="5"/>
  <c r="H538" i="5"/>
  <c r="P535" i="5"/>
  <c r="Q533" i="5"/>
  <c r="G531" i="5"/>
  <c r="E526" i="5"/>
  <c r="N521" i="5"/>
  <c r="V518" i="5"/>
  <c r="V516" i="5"/>
  <c r="T511" i="5"/>
  <c r="I509" i="5"/>
  <c r="M506" i="5"/>
  <c r="Q503" i="5"/>
  <c r="K495" i="5"/>
  <c r="M492" i="5"/>
  <c r="H484" i="5"/>
  <c r="P478" i="5"/>
  <c r="M468" i="5"/>
  <c r="F455" i="5"/>
  <c r="K445" i="5"/>
  <c r="I435" i="5"/>
  <c r="F554" i="5"/>
  <c r="I554" i="5"/>
  <c r="L554" i="5"/>
  <c r="L548" i="5"/>
  <c r="O548" i="5"/>
  <c r="R548" i="5"/>
  <c r="U548" i="5"/>
  <c r="F536" i="5"/>
  <c r="I536" i="5"/>
  <c r="L536" i="5"/>
  <c r="L530" i="5"/>
  <c r="O530" i="5"/>
  <c r="R530" i="5"/>
  <c r="R524" i="5"/>
  <c r="U524" i="5"/>
  <c r="F518" i="5"/>
  <c r="I518" i="5"/>
  <c r="I512" i="5"/>
  <c r="L512" i="5"/>
  <c r="O512" i="5"/>
  <c r="R512" i="5"/>
  <c r="R506" i="5"/>
  <c r="U506" i="5"/>
  <c r="F500" i="5"/>
  <c r="I500" i="5"/>
  <c r="L500" i="5"/>
  <c r="I494" i="5"/>
  <c r="L494" i="5"/>
  <c r="O494" i="5"/>
  <c r="R494" i="5"/>
  <c r="F488" i="5"/>
  <c r="L488" i="5"/>
  <c r="F482" i="5"/>
  <c r="I482" i="5"/>
  <c r="L482" i="5"/>
  <c r="I476" i="5"/>
  <c r="L476" i="5"/>
  <c r="L470" i="5"/>
  <c r="O470" i="5"/>
  <c r="R470" i="5"/>
  <c r="U470" i="5"/>
  <c r="O464" i="5"/>
  <c r="R464" i="5"/>
  <c r="U464" i="5"/>
  <c r="F464" i="5"/>
  <c r="I464" i="5"/>
  <c r="L464" i="5"/>
  <c r="R458" i="5"/>
  <c r="U458" i="5"/>
  <c r="I458" i="5"/>
  <c r="L458" i="5"/>
  <c r="O458" i="5"/>
  <c r="F452" i="5"/>
  <c r="L452" i="5"/>
  <c r="O452" i="5"/>
  <c r="R452" i="5"/>
  <c r="U452" i="5"/>
  <c r="F446" i="5"/>
  <c r="I446" i="5"/>
  <c r="L446" i="5"/>
  <c r="O446" i="5"/>
  <c r="R446" i="5"/>
  <c r="U446" i="5"/>
  <c r="F440" i="5"/>
  <c r="I440" i="5"/>
  <c r="L440" i="5"/>
  <c r="O440" i="5"/>
  <c r="R440" i="5"/>
  <c r="U440" i="5"/>
  <c r="F434" i="5"/>
  <c r="I434" i="5"/>
  <c r="L434" i="5"/>
  <c r="O434" i="5"/>
  <c r="R434" i="5"/>
  <c r="U434" i="5"/>
  <c r="I428" i="5"/>
  <c r="L428" i="5"/>
  <c r="O428" i="5"/>
  <c r="R428" i="5"/>
  <c r="U428" i="5"/>
  <c r="F428" i="5"/>
  <c r="F422" i="5"/>
  <c r="I422" i="5"/>
  <c r="R422" i="5"/>
  <c r="U422" i="5"/>
  <c r="R416" i="5"/>
  <c r="F416" i="5"/>
  <c r="I416" i="5"/>
  <c r="L416" i="5"/>
  <c r="O416" i="5"/>
  <c r="U416" i="5"/>
  <c r="F410" i="5"/>
  <c r="R410" i="5"/>
  <c r="U410" i="5"/>
  <c r="L410" i="5"/>
  <c r="O410" i="5"/>
  <c r="R404" i="5"/>
  <c r="F404" i="5"/>
  <c r="I404" i="5"/>
  <c r="L404" i="5"/>
  <c r="F398" i="5"/>
  <c r="I398" i="5"/>
  <c r="L398" i="5"/>
  <c r="O398" i="5"/>
  <c r="R398" i="5"/>
  <c r="U398" i="5"/>
  <c r="R392" i="5"/>
  <c r="U392" i="5"/>
  <c r="L392" i="5"/>
  <c r="O392" i="5"/>
  <c r="F392" i="5"/>
  <c r="I392" i="5"/>
  <c r="F386" i="5"/>
  <c r="I386" i="5"/>
  <c r="L386" i="5"/>
  <c r="O386" i="5"/>
  <c r="R386" i="5"/>
  <c r="U386" i="5"/>
  <c r="R380" i="5"/>
  <c r="U380" i="5"/>
  <c r="L380" i="5"/>
  <c r="O380" i="5"/>
  <c r="F380" i="5"/>
  <c r="F374" i="5"/>
  <c r="I374" i="5"/>
  <c r="L374" i="5"/>
  <c r="O374" i="5"/>
  <c r="R374" i="5"/>
  <c r="U374" i="5"/>
  <c r="R368" i="5"/>
  <c r="U368" i="5"/>
  <c r="O368" i="5"/>
  <c r="F368" i="5"/>
  <c r="I368" i="5"/>
  <c r="L368" i="5"/>
  <c r="F362" i="5"/>
  <c r="I362" i="5"/>
  <c r="L362" i="5"/>
  <c r="O362" i="5"/>
  <c r="R362" i="5"/>
  <c r="U362" i="5"/>
  <c r="R356" i="5"/>
  <c r="U356" i="5"/>
  <c r="F356" i="5"/>
  <c r="I356" i="5"/>
  <c r="L356" i="5"/>
  <c r="O356" i="5"/>
  <c r="U350" i="5"/>
  <c r="F350" i="5"/>
  <c r="I350" i="5"/>
  <c r="R350" i="5"/>
  <c r="L350" i="5"/>
  <c r="O350" i="5"/>
  <c r="L344" i="5"/>
  <c r="O344" i="5"/>
  <c r="F344" i="5"/>
  <c r="U344" i="5"/>
  <c r="I344" i="5"/>
  <c r="I338" i="5"/>
  <c r="R338" i="5"/>
  <c r="U338" i="5"/>
  <c r="F338" i="5"/>
  <c r="L338" i="5"/>
  <c r="O338" i="5"/>
  <c r="L332" i="5"/>
  <c r="O332" i="5"/>
  <c r="U332" i="5"/>
  <c r="F332" i="5"/>
  <c r="I332" i="5"/>
  <c r="R332" i="5"/>
  <c r="F326" i="5"/>
  <c r="I326" i="5"/>
  <c r="L326" i="5"/>
  <c r="O326" i="5"/>
  <c r="R326" i="5"/>
  <c r="U326" i="5"/>
  <c r="L320" i="5"/>
  <c r="O320" i="5"/>
  <c r="R320" i="5"/>
  <c r="U320" i="5"/>
  <c r="F320" i="5"/>
  <c r="I320" i="5"/>
  <c r="F314" i="5"/>
  <c r="I314" i="5"/>
  <c r="L314" i="5"/>
  <c r="U314" i="5"/>
  <c r="R314" i="5"/>
  <c r="O314" i="5"/>
  <c r="L308" i="5"/>
  <c r="O308" i="5"/>
  <c r="R308" i="5"/>
  <c r="U308" i="5"/>
  <c r="F308" i="5"/>
  <c r="I308" i="5"/>
  <c r="F302" i="5"/>
  <c r="I302" i="5"/>
  <c r="L302" i="5"/>
  <c r="O302" i="5"/>
  <c r="R302" i="5"/>
  <c r="U302" i="5"/>
  <c r="L296" i="5"/>
  <c r="O296" i="5"/>
  <c r="R296" i="5"/>
  <c r="U296" i="5"/>
  <c r="F296" i="5"/>
  <c r="I296" i="5"/>
  <c r="F290" i="5"/>
  <c r="I290" i="5"/>
  <c r="L290" i="5"/>
  <c r="O290" i="5"/>
  <c r="R290" i="5"/>
  <c r="U290" i="5"/>
  <c r="L284" i="5"/>
  <c r="O284" i="5"/>
  <c r="R284" i="5"/>
  <c r="U284" i="5"/>
  <c r="I284" i="5"/>
  <c r="F284" i="5"/>
  <c r="F278" i="5"/>
  <c r="I278" i="5"/>
  <c r="L278" i="5"/>
  <c r="O278" i="5"/>
  <c r="U278" i="5"/>
  <c r="R278" i="5"/>
  <c r="L272" i="5"/>
  <c r="O272" i="5"/>
  <c r="R272" i="5"/>
  <c r="U272" i="5"/>
  <c r="F272" i="5"/>
  <c r="I272" i="5"/>
  <c r="F266" i="5"/>
  <c r="I266" i="5"/>
  <c r="L266" i="5"/>
  <c r="O266" i="5"/>
  <c r="R266" i="5"/>
  <c r="U266" i="5"/>
  <c r="L260" i="5"/>
  <c r="O260" i="5"/>
  <c r="R260" i="5"/>
  <c r="U260" i="5"/>
  <c r="F260" i="5"/>
  <c r="I260" i="5"/>
  <c r="F254" i="5"/>
  <c r="I254" i="5"/>
  <c r="L254" i="5"/>
  <c r="O254" i="5"/>
  <c r="U254" i="5"/>
  <c r="R254" i="5"/>
  <c r="L248" i="5"/>
  <c r="O248" i="5"/>
  <c r="R248" i="5"/>
  <c r="U248" i="5"/>
  <c r="I248" i="5"/>
  <c r="F248" i="5"/>
  <c r="F242" i="5"/>
  <c r="I242" i="5"/>
  <c r="L242" i="5"/>
  <c r="O242" i="5"/>
  <c r="R242" i="5"/>
  <c r="U242" i="5"/>
  <c r="Q572" i="5"/>
  <c r="K571" i="5"/>
  <c r="P568" i="5"/>
  <c r="I567" i="5"/>
  <c r="T565" i="5"/>
  <c r="M564" i="5"/>
  <c r="M561" i="5"/>
  <c r="K559" i="5"/>
  <c r="L557" i="5"/>
  <c r="J552" i="5"/>
  <c r="R549" i="5"/>
  <c r="R547" i="5"/>
  <c r="H545" i="5"/>
  <c r="Q542" i="5"/>
  <c r="Q540" i="5"/>
  <c r="G538" i="5"/>
  <c r="O535" i="5"/>
  <c r="E533" i="5"/>
  <c r="F531" i="5"/>
  <c r="N528" i="5"/>
  <c r="V525" i="5"/>
  <c r="E524" i="5"/>
  <c r="M521" i="5"/>
  <c r="U518" i="5"/>
  <c r="K516" i="5"/>
  <c r="K514" i="5"/>
  <c r="H509" i="5"/>
  <c r="L506" i="5"/>
  <c r="P503" i="5"/>
  <c r="J495" i="5"/>
  <c r="H474" i="5"/>
  <c r="T462" i="5"/>
  <c r="K454" i="5"/>
  <c r="H435" i="5"/>
  <c r="L422" i="5"/>
  <c r="E554" i="5"/>
  <c r="H554" i="5"/>
  <c r="K554" i="5"/>
  <c r="N548" i="5"/>
  <c r="Q548" i="5"/>
  <c r="T548" i="5"/>
  <c r="E536" i="5"/>
  <c r="H536" i="5"/>
  <c r="K536" i="5"/>
  <c r="K530" i="5"/>
  <c r="N530" i="5"/>
  <c r="Q530" i="5"/>
  <c r="T530" i="5"/>
  <c r="E518" i="5"/>
  <c r="H518" i="5"/>
  <c r="K512" i="5"/>
  <c r="N512" i="5"/>
  <c r="Q512" i="5"/>
  <c r="Q506" i="5"/>
  <c r="T506" i="5"/>
  <c r="E500" i="5"/>
  <c r="H500" i="5"/>
  <c r="H494" i="5"/>
  <c r="K494" i="5"/>
  <c r="N494" i="5"/>
  <c r="Q494" i="5"/>
  <c r="T494" i="5"/>
  <c r="E488" i="5"/>
  <c r="H488" i="5"/>
  <c r="E482" i="5"/>
  <c r="H482" i="5"/>
  <c r="K482" i="5"/>
  <c r="Q476" i="5"/>
  <c r="H476" i="5"/>
  <c r="K476" i="5"/>
  <c r="N476" i="5"/>
  <c r="E470" i="5"/>
  <c r="N470" i="5"/>
  <c r="Q470" i="5"/>
  <c r="T470" i="5"/>
  <c r="Q464" i="5"/>
  <c r="N464" i="5"/>
  <c r="T464" i="5"/>
  <c r="E464" i="5"/>
  <c r="H464" i="5"/>
  <c r="K464" i="5"/>
  <c r="E458" i="5"/>
  <c r="T458" i="5"/>
  <c r="H458" i="5"/>
  <c r="K458" i="5"/>
  <c r="N458" i="5"/>
  <c r="Q458" i="5"/>
  <c r="Q452" i="5"/>
  <c r="E452" i="5"/>
  <c r="H452" i="5"/>
  <c r="K452" i="5"/>
  <c r="N452" i="5"/>
  <c r="T452" i="5"/>
  <c r="E446" i="5"/>
  <c r="H446" i="5"/>
  <c r="K446" i="5"/>
  <c r="N446" i="5"/>
  <c r="Q446" i="5"/>
  <c r="T446" i="5"/>
  <c r="Q440" i="5"/>
  <c r="E440" i="5"/>
  <c r="H440" i="5"/>
  <c r="K440" i="5"/>
  <c r="N440" i="5"/>
  <c r="T440" i="5"/>
  <c r="E434" i="5"/>
  <c r="H434" i="5"/>
  <c r="K434" i="5"/>
  <c r="N434" i="5"/>
  <c r="Q434" i="5"/>
  <c r="T434" i="5"/>
  <c r="Q428" i="5"/>
  <c r="T428" i="5"/>
  <c r="H428" i="5"/>
  <c r="K428" i="5"/>
  <c r="N428" i="5"/>
  <c r="E428" i="5"/>
  <c r="E422" i="5"/>
  <c r="H422" i="5"/>
  <c r="K422" i="5"/>
  <c r="Q422" i="5"/>
  <c r="T422" i="5"/>
  <c r="Q416" i="5"/>
  <c r="T416" i="5"/>
  <c r="E416" i="5"/>
  <c r="H416" i="5"/>
  <c r="K416" i="5"/>
  <c r="N416" i="5"/>
  <c r="E410" i="5"/>
  <c r="H410" i="5"/>
  <c r="K410" i="5"/>
  <c r="Q410" i="5"/>
  <c r="T410" i="5"/>
  <c r="N410" i="5"/>
  <c r="Q404" i="5"/>
  <c r="T404" i="5"/>
  <c r="E404" i="5"/>
  <c r="H404" i="5"/>
  <c r="K404" i="5"/>
  <c r="N404" i="5"/>
  <c r="E398" i="5"/>
  <c r="H398" i="5"/>
  <c r="K398" i="5"/>
  <c r="N398" i="5"/>
  <c r="Q398" i="5"/>
  <c r="T398" i="5"/>
  <c r="Q392" i="5"/>
  <c r="T392" i="5"/>
  <c r="N392" i="5"/>
  <c r="E392" i="5"/>
  <c r="H392" i="5"/>
  <c r="K392" i="5"/>
  <c r="E386" i="5"/>
  <c r="H386" i="5"/>
  <c r="K386" i="5"/>
  <c r="N386" i="5"/>
  <c r="Q386" i="5"/>
  <c r="T386" i="5"/>
  <c r="Q380" i="5"/>
  <c r="T380" i="5"/>
  <c r="N380" i="5"/>
  <c r="E380" i="5"/>
  <c r="K380" i="5"/>
  <c r="E374" i="5"/>
  <c r="H374" i="5"/>
  <c r="K374" i="5"/>
  <c r="N374" i="5"/>
  <c r="Q374" i="5"/>
  <c r="T374" i="5"/>
  <c r="Q368" i="5"/>
  <c r="T368" i="5"/>
  <c r="E368" i="5"/>
  <c r="N368" i="5"/>
  <c r="H368" i="5"/>
  <c r="K368" i="5"/>
  <c r="E362" i="5"/>
  <c r="H362" i="5"/>
  <c r="K362" i="5"/>
  <c r="N362" i="5"/>
  <c r="Q362" i="5"/>
  <c r="T362" i="5"/>
  <c r="Q356" i="5"/>
  <c r="T356" i="5"/>
  <c r="E356" i="5"/>
  <c r="H356" i="5"/>
  <c r="K356" i="5"/>
  <c r="N356" i="5"/>
  <c r="E350" i="5"/>
  <c r="T350" i="5"/>
  <c r="H350" i="5"/>
  <c r="K350" i="5"/>
  <c r="N350" i="5"/>
  <c r="Q350" i="5"/>
  <c r="K344" i="5"/>
  <c r="N344" i="5"/>
  <c r="Q344" i="5"/>
  <c r="E344" i="5"/>
  <c r="H344" i="5"/>
  <c r="T344" i="5"/>
  <c r="E338" i="5"/>
  <c r="H338" i="5"/>
  <c r="T338" i="5"/>
  <c r="K338" i="5"/>
  <c r="N338" i="5"/>
  <c r="Q338" i="5"/>
  <c r="K332" i="5"/>
  <c r="N332" i="5"/>
  <c r="Q332" i="5"/>
  <c r="T332" i="5"/>
  <c r="E332" i="5"/>
  <c r="H332" i="5"/>
  <c r="E326" i="5"/>
  <c r="H326" i="5"/>
  <c r="K326" i="5"/>
  <c r="N326" i="5"/>
  <c r="Q326" i="5"/>
  <c r="T326" i="5"/>
  <c r="K320" i="5"/>
  <c r="N320" i="5"/>
  <c r="Q320" i="5"/>
  <c r="T320" i="5"/>
  <c r="E320" i="5"/>
  <c r="H320" i="5"/>
  <c r="E314" i="5"/>
  <c r="H314" i="5"/>
  <c r="K314" i="5"/>
  <c r="T314" i="5"/>
  <c r="N314" i="5"/>
  <c r="Q314" i="5"/>
  <c r="K308" i="5"/>
  <c r="N308" i="5"/>
  <c r="Q308" i="5"/>
  <c r="T308" i="5"/>
  <c r="E308" i="5"/>
  <c r="H308" i="5"/>
  <c r="E302" i="5"/>
  <c r="H302" i="5"/>
  <c r="K302" i="5"/>
  <c r="N302" i="5"/>
  <c r="Q302" i="5"/>
  <c r="T302" i="5"/>
  <c r="K296" i="5"/>
  <c r="N296" i="5"/>
  <c r="Q296" i="5"/>
  <c r="T296" i="5"/>
  <c r="E296" i="5"/>
  <c r="H296" i="5"/>
  <c r="E290" i="5"/>
  <c r="H290" i="5"/>
  <c r="K290" i="5"/>
  <c r="N290" i="5"/>
  <c r="Q290" i="5"/>
  <c r="T290" i="5"/>
  <c r="K284" i="5"/>
  <c r="N284" i="5"/>
  <c r="Q284" i="5"/>
  <c r="T284" i="5"/>
  <c r="H284" i="5"/>
  <c r="E284" i="5"/>
  <c r="E278" i="5"/>
  <c r="H278" i="5"/>
  <c r="K278" i="5"/>
  <c r="N278" i="5"/>
  <c r="T278" i="5"/>
  <c r="Q278" i="5"/>
  <c r="K272" i="5"/>
  <c r="N272" i="5"/>
  <c r="Q272" i="5"/>
  <c r="T272" i="5"/>
  <c r="E272" i="5"/>
  <c r="H272" i="5"/>
  <c r="E266" i="5"/>
  <c r="H266" i="5"/>
  <c r="K266" i="5"/>
  <c r="N266" i="5"/>
  <c r="Q266" i="5"/>
  <c r="T266" i="5"/>
  <c r="K260" i="5"/>
  <c r="N260" i="5"/>
  <c r="Q260" i="5"/>
  <c r="T260" i="5"/>
  <c r="E260" i="5"/>
  <c r="H260" i="5"/>
  <c r="E254" i="5"/>
  <c r="H254" i="5"/>
  <c r="K254" i="5"/>
  <c r="N254" i="5"/>
  <c r="Q254" i="5"/>
  <c r="T254" i="5"/>
  <c r="K248" i="5"/>
  <c r="N248" i="5"/>
  <c r="Q248" i="5"/>
  <c r="T248" i="5"/>
  <c r="E248" i="5"/>
  <c r="H248" i="5"/>
  <c r="E242" i="5"/>
  <c r="H242" i="5"/>
  <c r="K242" i="5"/>
  <c r="N242" i="5"/>
  <c r="Q242" i="5"/>
  <c r="T242" i="5"/>
  <c r="V573" i="5"/>
  <c r="P572" i="5"/>
  <c r="J571" i="5"/>
  <c r="V569" i="5"/>
  <c r="H567" i="5"/>
  <c r="S565" i="5"/>
  <c r="V562" i="5"/>
  <c r="L561" i="5"/>
  <c r="K557" i="5"/>
  <c r="S554" i="5"/>
  <c r="Q549" i="5"/>
  <c r="G545" i="5"/>
  <c r="O542" i="5"/>
  <c r="N535" i="5"/>
  <c r="V532" i="5"/>
  <c r="E531" i="5"/>
  <c r="M528" i="5"/>
  <c r="U525" i="5"/>
  <c r="U523" i="5"/>
  <c r="L521" i="5"/>
  <c r="T518" i="5"/>
  <c r="J516" i="5"/>
  <c r="J514" i="5"/>
  <c r="G509" i="5"/>
  <c r="K506" i="5"/>
  <c r="O503" i="5"/>
  <c r="S500" i="5"/>
  <c r="E498" i="5"/>
  <c r="I495" i="5"/>
  <c r="K492" i="5"/>
  <c r="M488" i="5"/>
  <c r="U482" i="5"/>
  <c r="N478" i="5"/>
  <c r="U473" i="5"/>
  <c r="K468" i="5"/>
  <c r="J454" i="5"/>
  <c r="G435" i="5"/>
  <c r="U573" i="5"/>
  <c r="O572" i="5"/>
  <c r="I571" i="5"/>
  <c r="U569" i="5"/>
  <c r="N568" i="5"/>
  <c r="G567" i="5"/>
  <c r="R565" i="5"/>
  <c r="K564" i="5"/>
  <c r="K561" i="5"/>
  <c r="Q556" i="5"/>
  <c r="R554" i="5"/>
  <c r="H552" i="5"/>
  <c r="P549" i="5"/>
  <c r="F545" i="5"/>
  <c r="N542" i="5"/>
  <c r="E540" i="5"/>
  <c r="E538" i="5"/>
  <c r="M535" i="5"/>
  <c r="V530" i="5"/>
  <c r="T525" i="5"/>
  <c r="K521" i="5"/>
  <c r="S518" i="5"/>
  <c r="F509" i="5"/>
  <c r="J506" i="5"/>
  <c r="N503" i="5"/>
  <c r="R500" i="5"/>
  <c r="V497" i="5"/>
  <c r="H495" i="5"/>
  <c r="K488" i="5"/>
  <c r="T482" i="5"/>
  <c r="M478" i="5"/>
  <c r="S473" i="5"/>
  <c r="J468" i="5"/>
  <c r="M432" i="5"/>
  <c r="V559" i="5"/>
  <c r="P559" i="5"/>
  <c r="S559" i="5"/>
  <c r="J553" i="5"/>
  <c r="V553" i="5"/>
  <c r="V547" i="5"/>
  <c r="G547" i="5"/>
  <c r="J547" i="5"/>
  <c r="M547" i="5"/>
  <c r="J541" i="5"/>
  <c r="M541" i="5"/>
  <c r="P541" i="5"/>
  <c r="S541" i="5"/>
  <c r="V541" i="5"/>
  <c r="J529" i="5"/>
  <c r="G529" i="5"/>
  <c r="M529" i="5"/>
  <c r="V523" i="5"/>
  <c r="M523" i="5"/>
  <c r="P523" i="5"/>
  <c r="S523" i="5"/>
  <c r="J517" i="5"/>
  <c r="S517" i="5"/>
  <c r="V517" i="5"/>
  <c r="V511" i="5"/>
  <c r="G511" i="5"/>
  <c r="J511" i="5"/>
  <c r="J505" i="5"/>
  <c r="M505" i="5"/>
  <c r="P505" i="5"/>
  <c r="S505" i="5"/>
  <c r="V505" i="5"/>
  <c r="V499" i="5"/>
  <c r="S499" i="5"/>
  <c r="J493" i="5"/>
  <c r="G493" i="5"/>
  <c r="M493" i="5"/>
  <c r="J487" i="5"/>
  <c r="V487" i="5"/>
  <c r="G487" i="5"/>
  <c r="M487" i="5"/>
  <c r="P487" i="5"/>
  <c r="S487" i="5"/>
  <c r="V481" i="5"/>
  <c r="G481" i="5"/>
  <c r="J481" i="5"/>
  <c r="M481" i="5"/>
  <c r="P481" i="5"/>
  <c r="S481" i="5"/>
  <c r="J475" i="5"/>
  <c r="G475" i="5"/>
  <c r="M475" i="5"/>
  <c r="P475" i="5"/>
  <c r="S475" i="5"/>
  <c r="V475" i="5"/>
  <c r="V469" i="5"/>
  <c r="G469" i="5"/>
  <c r="J469" i="5"/>
  <c r="M469" i="5"/>
  <c r="S469" i="5"/>
  <c r="J463" i="5"/>
  <c r="G463" i="5"/>
  <c r="M463" i="5"/>
  <c r="P463" i="5"/>
  <c r="V463" i="5"/>
  <c r="V457" i="5"/>
  <c r="J457" i="5"/>
  <c r="M457" i="5"/>
  <c r="P457" i="5"/>
  <c r="S457" i="5"/>
  <c r="J451" i="5"/>
  <c r="P451" i="5"/>
  <c r="S451" i="5"/>
  <c r="V451" i="5"/>
  <c r="V445" i="5"/>
  <c r="P445" i="5"/>
  <c r="S445" i="5"/>
  <c r="M445" i="5"/>
  <c r="J439" i="5"/>
  <c r="V439" i="5"/>
  <c r="M439" i="5"/>
  <c r="P439" i="5"/>
  <c r="S439" i="5"/>
  <c r="V433" i="5"/>
  <c r="G433" i="5"/>
  <c r="J433" i="5"/>
  <c r="M433" i="5"/>
  <c r="P433" i="5"/>
  <c r="S433" i="5"/>
  <c r="J427" i="5"/>
  <c r="G427" i="5"/>
  <c r="M427" i="5"/>
  <c r="P427" i="5"/>
  <c r="S427" i="5"/>
  <c r="V427" i="5"/>
  <c r="V421" i="5"/>
  <c r="M421" i="5"/>
  <c r="P421" i="5"/>
  <c r="S421" i="5"/>
  <c r="G421" i="5"/>
  <c r="J415" i="5"/>
  <c r="M415" i="5"/>
  <c r="G415" i="5"/>
  <c r="P415" i="5"/>
  <c r="S415" i="5"/>
  <c r="V415" i="5"/>
  <c r="V409" i="5"/>
  <c r="G409" i="5"/>
  <c r="J409" i="5"/>
  <c r="M409" i="5"/>
  <c r="P409" i="5"/>
  <c r="S409" i="5"/>
  <c r="J403" i="5"/>
  <c r="M403" i="5"/>
  <c r="P403" i="5"/>
  <c r="S403" i="5"/>
  <c r="V403" i="5"/>
  <c r="V397" i="5"/>
  <c r="G397" i="5"/>
  <c r="J397" i="5"/>
  <c r="M397" i="5"/>
  <c r="J391" i="5"/>
  <c r="M391" i="5"/>
  <c r="G391" i="5"/>
  <c r="P391" i="5"/>
  <c r="S391" i="5"/>
  <c r="V391" i="5"/>
  <c r="V385" i="5"/>
  <c r="G385" i="5"/>
  <c r="J385" i="5"/>
  <c r="S385" i="5"/>
  <c r="M385" i="5"/>
  <c r="P385" i="5"/>
  <c r="J379" i="5"/>
  <c r="M379" i="5"/>
  <c r="P379" i="5"/>
  <c r="S379" i="5"/>
  <c r="V379" i="5"/>
  <c r="G379" i="5"/>
  <c r="V373" i="5"/>
  <c r="G373" i="5"/>
  <c r="J373" i="5"/>
  <c r="M373" i="5"/>
  <c r="P373" i="5"/>
  <c r="S373" i="5"/>
  <c r="J367" i="5"/>
  <c r="M367" i="5"/>
  <c r="P367" i="5"/>
  <c r="S367" i="5"/>
  <c r="V367" i="5"/>
  <c r="G367" i="5"/>
  <c r="V361" i="5"/>
  <c r="G361" i="5"/>
  <c r="J361" i="5"/>
  <c r="M361" i="5"/>
  <c r="P361" i="5"/>
  <c r="J355" i="5"/>
  <c r="M355" i="5"/>
  <c r="P355" i="5"/>
  <c r="S355" i="5"/>
  <c r="V355" i="5"/>
  <c r="G355" i="5"/>
  <c r="S349" i="5"/>
  <c r="V349" i="5"/>
  <c r="G349" i="5"/>
  <c r="J349" i="5"/>
  <c r="M349" i="5"/>
  <c r="P349" i="5"/>
  <c r="G343" i="5"/>
  <c r="J343" i="5"/>
  <c r="M343" i="5"/>
  <c r="P343" i="5"/>
  <c r="S343" i="5"/>
  <c r="V343" i="5"/>
  <c r="S337" i="5"/>
  <c r="V337" i="5"/>
  <c r="G337" i="5"/>
  <c r="J337" i="5"/>
  <c r="M337" i="5"/>
  <c r="P337" i="5"/>
  <c r="G331" i="5"/>
  <c r="J331" i="5"/>
  <c r="M331" i="5"/>
  <c r="P331" i="5"/>
  <c r="S331" i="5"/>
  <c r="V331" i="5"/>
  <c r="S325" i="5"/>
  <c r="V325" i="5"/>
  <c r="J325" i="5"/>
  <c r="M325" i="5"/>
  <c r="P325" i="5"/>
  <c r="G325" i="5"/>
  <c r="G319" i="5"/>
  <c r="J319" i="5"/>
  <c r="M319" i="5"/>
  <c r="P319" i="5"/>
  <c r="S319" i="5"/>
  <c r="V319" i="5"/>
  <c r="S313" i="5"/>
  <c r="V313" i="5"/>
  <c r="G313" i="5"/>
  <c r="J313" i="5"/>
  <c r="M313" i="5"/>
  <c r="P313" i="5"/>
  <c r="G307" i="5"/>
  <c r="J307" i="5"/>
  <c r="M307" i="5"/>
  <c r="P307" i="5"/>
  <c r="S307" i="5"/>
  <c r="V307" i="5"/>
  <c r="S301" i="5"/>
  <c r="V301" i="5"/>
  <c r="G301" i="5"/>
  <c r="J301" i="5"/>
  <c r="M301" i="5"/>
  <c r="P301" i="5"/>
  <c r="G295" i="5"/>
  <c r="J295" i="5"/>
  <c r="M295" i="5"/>
  <c r="P295" i="5"/>
  <c r="S295" i="5"/>
  <c r="V295" i="5"/>
  <c r="S289" i="5"/>
  <c r="V289" i="5"/>
  <c r="G289" i="5"/>
  <c r="J289" i="5"/>
  <c r="M289" i="5"/>
  <c r="P289" i="5"/>
  <c r="G283" i="5"/>
  <c r="J283" i="5"/>
  <c r="M283" i="5"/>
  <c r="P283" i="5"/>
  <c r="S283" i="5"/>
  <c r="V283" i="5"/>
  <c r="S277" i="5"/>
  <c r="V277" i="5"/>
  <c r="G277" i="5"/>
  <c r="J277" i="5"/>
  <c r="M277" i="5"/>
  <c r="P277" i="5"/>
  <c r="G271" i="5"/>
  <c r="J271" i="5"/>
  <c r="M271" i="5"/>
  <c r="P271" i="5"/>
  <c r="S271" i="5"/>
  <c r="V271" i="5"/>
  <c r="S265" i="5"/>
  <c r="V265" i="5"/>
  <c r="G265" i="5"/>
  <c r="J265" i="5"/>
  <c r="M265" i="5"/>
  <c r="P265" i="5"/>
  <c r="G259" i="5"/>
  <c r="J259" i="5"/>
  <c r="M259" i="5"/>
  <c r="P259" i="5"/>
  <c r="S259" i="5"/>
  <c r="V259" i="5"/>
  <c r="S253" i="5"/>
  <c r="V253" i="5"/>
  <c r="G253" i="5"/>
  <c r="J253" i="5"/>
  <c r="M253" i="5"/>
  <c r="P253" i="5"/>
  <c r="G247" i="5"/>
  <c r="J247" i="5"/>
  <c r="M247" i="5"/>
  <c r="P247" i="5"/>
  <c r="S247" i="5"/>
  <c r="V247" i="5"/>
  <c r="S241" i="5"/>
  <c r="V241" i="5"/>
  <c r="G241" i="5"/>
  <c r="J241" i="5"/>
  <c r="M241" i="5"/>
  <c r="P241" i="5"/>
  <c r="T573" i="5"/>
  <c r="N572" i="5"/>
  <c r="H571" i="5"/>
  <c r="T569" i="5"/>
  <c r="M568" i="5"/>
  <c r="Q565" i="5"/>
  <c r="J564" i="5"/>
  <c r="T562" i="5"/>
  <c r="I561" i="5"/>
  <c r="P556" i="5"/>
  <c r="Q554" i="5"/>
  <c r="O549" i="5"/>
  <c r="E545" i="5"/>
  <c r="M542" i="5"/>
  <c r="U539" i="5"/>
  <c r="V537" i="5"/>
  <c r="L535" i="5"/>
  <c r="T532" i="5"/>
  <c r="U530" i="5"/>
  <c r="K528" i="5"/>
  <c r="S525" i="5"/>
  <c r="I521" i="5"/>
  <c r="R518" i="5"/>
  <c r="H516" i="5"/>
  <c r="H514" i="5"/>
  <c r="P511" i="5"/>
  <c r="E509" i="5"/>
  <c r="I506" i="5"/>
  <c r="M503" i="5"/>
  <c r="Q500" i="5"/>
  <c r="U497" i="5"/>
  <c r="G495" i="5"/>
  <c r="I488" i="5"/>
  <c r="S482" i="5"/>
  <c r="H454" i="5"/>
  <c r="G445" i="5"/>
  <c r="T418" i="5"/>
  <c r="R344" i="5"/>
  <c r="O559" i="5"/>
  <c r="R559" i="5"/>
  <c r="F547" i="5"/>
  <c r="I547" i="5"/>
  <c r="L547" i="5"/>
  <c r="O541" i="5"/>
  <c r="R541" i="5"/>
  <c r="U541" i="5"/>
  <c r="F529" i="5"/>
  <c r="I529" i="5"/>
  <c r="L529" i="5"/>
  <c r="L523" i="5"/>
  <c r="O523" i="5"/>
  <c r="R523" i="5"/>
  <c r="F511" i="5"/>
  <c r="I511" i="5"/>
  <c r="I505" i="5"/>
  <c r="L505" i="5"/>
  <c r="O505" i="5"/>
  <c r="R505" i="5"/>
  <c r="R499" i="5"/>
  <c r="U499" i="5"/>
  <c r="F493" i="5"/>
  <c r="I493" i="5"/>
  <c r="O493" i="5"/>
  <c r="U487" i="5"/>
  <c r="I487" i="5"/>
  <c r="L487" i="5"/>
  <c r="O487" i="5"/>
  <c r="R487" i="5"/>
  <c r="I481" i="5"/>
  <c r="L481" i="5"/>
  <c r="O481" i="5"/>
  <c r="U481" i="5"/>
  <c r="F475" i="5"/>
  <c r="I475" i="5"/>
  <c r="L475" i="5"/>
  <c r="O475" i="5"/>
  <c r="U475" i="5"/>
  <c r="F469" i="5"/>
  <c r="I469" i="5"/>
  <c r="L469" i="5"/>
  <c r="O469" i="5"/>
  <c r="F463" i="5"/>
  <c r="I463" i="5"/>
  <c r="L463" i="5"/>
  <c r="O463" i="5"/>
  <c r="R463" i="5"/>
  <c r="U463" i="5"/>
  <c r="L457" i="5"/>
  <c r="O457" i="5"/>
  <c r="R457" i="5"/>
  <c r="U457" i="5"/>
  <c r="O451" i="5"/>
  <c r="R451" i="5"/>
  <c r="U451" i="5"/>
  <c r="R445" i="5"/>
  <c r="U445" i="5"/>
  <c r="O445" i="5"/>
  <c r="U439" i="5"/>
  <c r="F439" i="5"/>
  <c r="O439" i="5"/>
  <c r="R439" i="5"/>
  <c r="F433" i="5"/>
  <c r="I433" i="5"/>
  <c r="L433" i="5"/>
  <c r="O433" i="5"/>
  <c r="R433" i="5"/>
  <c r="U433" i="5"/>
  <c r="F427" i="5"/>
  <c r="I427" i="5"/>
  <c r="L427" i="5"/>
  <c r="O427" i="5"/>
  <c r="R427" i="5"/>
  <c r="U427" i="5"/>
  <c r="L421" i="5"/>
  <c r="O421" i="5"/>
  <c r="R421" i="5"/>
  <c r="U421" i="5"/>
  <c r="F421" i="5"/>
  <c r="L415" i="5"/>
  <c r="I415" i="5"/>
  <c r="O415" i="5"/>
  <c r="R415" i="5"/>
  <c r="U415" i="5"/>
  <c r="F409" i="5"/>
  <c r="I409" i="5"/>
  <c r="L409" i="5"/>
  <c r="O409" i="5"/>
  <c r="R409" i="5"/>
  <c r="L403" i="5"/>
  <c r="R403" i="5"/>
  <c r="U403" i="5"/>
  <c r="F403" i="5"/>
  <c r="O403" i="5"/>
  <c r="F397" i="5"/>
  <c r="I397" i="5"/>
  <c r="L397" i="5"/>
  <c r="O397" i="5"/>
  <c r="U397" i="5"/>
  <c r="L391" i="5"/>
  <c r="O391" i="5"/>
  <c r="F391" i="5"/>
  <c r="I391" i="5"/>
  <c r="R391" i="5"/>
  <c r="U391" i="5"/>
  <c r="F385" i="5"/>
  <c r="R385" i="5"/>
  <c r="U385" i="5"/>
  <c r="I385" i="5"/>
  <c r="L385" i="5"/>
  <c r="O385" i="5"/>
  <c r="L379" i="5"/>
  <c r="O379" i="5"/>
  <c r="R379" i="5"/>
  <c r="F379" i="5"/>
  <c r="I379" i="5"/>
  <c r="U379" i="5"/>
  <c r="F373" i="5"/>
  <c r="I373" i="5"/>
  <c r="L373" i="5"/>
  <c r="O373" i="5"/>
  <c r="R373" i="5"/>
  <c r="U373" i="5"/>
  <c r="L367" i="5"/>
  <c r="O367" i="5"/>
  <c r="R367" i="5"/>
  <c r="U367" i="5"/>
  <c r="F367" i="5"/>
  <c r="I367" i="5"/>
  <c r="F361" i="5"/>
  <c r="I361" i="5"/>
  <c r="U361" i="5"/>
  <c r="L361" i="5"/>
  <c r="O361" i="5"/>
  <c r="L355" i="5"/>
  <c r="O355" i="5"/>
  <c r="R355" i="5"/>
  <c r="U355" i="5"/>
  <c r="I355" i="5"/>
  <c r="F355" i="5"/>
  <c r="R349" i="5"/>
  <c r="U349" i="5"/>
  <c r="F349" i="5"/>
  <c r="I349" i="5"/>
  <c r="L349" i="5"/>
  <c r="O349" i="5"/>
  <c r="F343" i="5"/>
  <c r="I343" i="5"/>
  <c r="L343" i="5"/>
  <c r="O343" i="5"/>
  <c r="R343" i="5"/>
  <c r="U343" i="5"/>
  <c r="R337" i="5"/>
  <c r="U337" i="5"/>
  <c r="F337" i="5"/>
  <c r="I337" i="5"/>
  <c r="L337" i="5"/>
  <c r="O337" i="5"/>
  <c r="F331" i="5"/>
  <c r="I331" i="5"/>
  <c r="L331" i="5"/>
  <c r="O331" i="5"/>
  <c r="R331" i="5"/>
  <c r="U331" i="5"/>
  <c r="R325" i="5"/>
  <c r="U325" i="5"/>
  <c r="F325" i="5"/>
  <c r="L325" i="5"/>
  <c r="O325" i="5"/>
  <c r="I325" i="5"/>
  <c r="F319" i="5"/>
  <c r="I319" i="5"/>
  <c r="L319" i="5"/>
  <c r="O319" i="5"/>
  <c r="R319" i="5"/>
  <c r="U319" i="5"/>
  <c r="R313" i="5"/>
  <c r="U313" i="5"/>
  <c r="F313" i="5"/>
  <c r="I313" i="5"/>
  <c r="L313" i="5"/>
  <c r="O313" i="5"/>
  <c r="F307" i="5"/>
  <c r="I307" i="5"/>
  <c r="L307" i="5"/>
  <c r="O307" i="5"/>
  <c r="R307" i="5"/>
  <c r="U307" i="5"/>
  <c r="R301" i="5"/>
  <c r="U301" i="5"/>
  <c r="F301" i="5"/>
  <c r="I301" i="5"/>
  <c r="L301" i="5"/>
  <c r="O301" i="5"/>
  <c r="F295" i="5"/>
  <c r="I295" i="5"/>
  <c r="L295" i="5"/>
  <c r="O295" i="5"/>
  <c r="R295" i="5"/>
  <c r="U295" i="5"/>
  <c r="R289" i="5"/>
  <c r="U289" i="5"/>
  <c r="F289" i="5"/>
  <c r="I289" i="5"/>
  <c r="L289" i="5"/>
  <c r="O289" i="5"/>
  <c r="F283" i="5"/>
  <c r="I283" i="5"/>
  <c r="L283" i="5"/>
  <c r="O283" i="5"/>
  <c r="R283" i="5"/>
  <c r="U283" i="5"/>
  <c r="R277" i="5"/>
  <c r="U277" i="5"/>
  <c r="F277" i="5"/>
  <c r="I277" i="5"/>
  <c r="L277" i="5"/>
  <c r="O277" i="5"/>
  <c r="F271" i="5"/>
  <c r="I271" i="5"/>
  <c r="L271" i="5"/>
  <c r="O271" i="5"/>
  <c r="R271" i="5"/>
  <c r="U271" i="5"/>
  <c r="R265" i="5"/>
  <c r="U265" i="5"/>
  <c r="F265" i="5"/>
  <c r="I265" i="5"/>
  <c r="L265" i="5"/>
  <c r="O265" i="5"/>
  <c r="F259" i="5"/>
  <c r="I259" i="5"/>
  <c r="L259" i="5"/>
  <c r="O259" i="5"/>
  <c r="R259" i="5"/>
  <c r="U259" i="5"/>
  <c r="R253" i="5"/>
  <c r="U253" i="5"/>
  <c r="F253" i="5"/>
  <c r="I253" i="5"/>
  <c r="L253" i="5"/>
  <c r="O253" i="5"/>
  <c r="F247" i="5"/>
  <c r="I247" i="5"/>
  <c r="L247" i="5"/>
  <c r="O247" i="5"/>
  <c r="R247" i="5"/>
  <c r="U247" i="5"/>
  <c r="R241" i="5"/>
  <c r="U241" i="5"/>
  <c r="F241" i="5"/>
  <c r="I241" i="5"/>
  <c r="L241" i="5"/>
  <c r="O241" i="5"/>
  <c r="S573" i="5"/>
  <c r="M572" i="5"/>
  <c r="S569" i="5"/>
  <c r="P565" i="5"/>
  <c r="S562" i="5"/>
  <c r="H561" i="5"/>
  <c r="G559" i="5"/>
  <c r="O554" i="5"/>
  <c r="N549" i="5"/>
  <c r="V544" i="5"/>
  <c r="L542" i="5"/>
  <c r="T539" i="5"/>
  <c r="U537" i="5"/>
  <c r="S532" i="5"/>
  <c r="I530" i="5"/>
  <c r="J528" i="5"/>
  <c r="R525" i="5"/>
  <c r="H521" i="5"/>
  <c r="Q518" i="5"/>
  <c r="O513" i="5"/>
  <c r="O511" i="5"/>
  <c r="V508" i="5"/>
  <c r="H506" i="5"/>
  <c r="L503" i="5"/>
  <c r="P500" i="5"/>
  <c r="T497" i="5"/>
  <c r="F495" i="5"/>
  <c r="T491" i="5"/>
  <c r="F487" i="5"/>
  <c r="R482" i="5"/>
  <c r="K478" i="5"/>
  <c r="H468" i="5"/>
  <c r="E461" i="5"/>
  <c r="G454" i="5"/>
  <c r="F445" i="5"/>
  <c r="K432" i="5"/>
  <c r="S418" i="5"/>
  <c r="S397" i="5"/>
  <c r="J344" i="5"/>
  <c r="N559" i="5"/>
  <c r="Q559" i="5"/>
  <c r="E547" i="5"/>
  <c r="H547" i="5"/>
  <c r="K547" i="5"/>
  <c r="N547" i="5"/>
  <c r="N541" i="5"/>
  <c r="Q541" i="5"/>
  <c r="T541" i="5"/>
  <c r="T535" i="5"/>
  <c r="E535" i="5"/>
  <c r="E529" i="5"/>
  <c r="H529" i="5"/>
  <c r="K529" i="5"/>
  <c r="K523" i="5"/>
  <c r="N523" i="5"/>
  <c r="Q523" i="5"/>
  <c r="T523" i="5"/>
  <c r="E511" i="5"/>
  <c r="H511" i="5"/>
  <c r="K511" i="5"/>
  <c r="K505" i="5"/>
  <c r="N505" i="5"/>
  <c r="Q505" i="5"/>
  <c r="T505" i="5"/>
  <c r="Q499" i="5"/>
  <c r="T499" i="5"/>
  <c r="E499" i="5"/>
  <c r="E493" i="5"/>
  <c r="H493" i="5"/>
  <c r="K493" i="5"/>
  <c r="K487" i="5"/>
  <c r="T487" i="5"/>
  <c r="H487" i="5"/>
  <c r="N487" i="5"/>
  <c r="Q487" i="5"/>
  <c r="H481" i="5"/>
  <c r="K481" i="5"/>
  <c r="N481" i="5"/>
  <c r="Q481" i="5"/>
  <c r="K475" i="5"/>
  <c r="E475" i="5"/>
  <c r="H475" i="5"/>
  <c r="N475" i="5"/>
  <c r="Q475" i="5"/>
  <c r="E469" i="5"/>
  <c r="H469" i="5"/>
  <c r="K469" i="5"/>
  <c r="N469" i="5"/>
  <c r="Q469" i="5"/>
  <c r="T469" i="5"/>
  <c r="K463" i="5"/>
  <c r="H463" i="5"/>
  <c r="N463" i="5"/>
  <c r="Q463" i="5"/>
  <c r="K457" i="5"/>
  <c r="N457" i="5"/>
  <c r="Q457" i="5"/>
  <c r="T457" i="5"/>
  <c r="K451" i="5"/>
  <c r="N451" i="5"/>
  <c r="Q451" i="5"/>
  <c r="T451" i="5"/>
  <c r="Q445" i="5"/>
  <c r="T445" i="5"/>
  <c r="N445" i="5"/>
  <c r="E445" i="5"/>
  <c r="K439" i="5"/>
  <c r="T439" i="5"/>
  <c r="E439" i="5"/>
  <c r="N439" i="5"/>
  <c r="Q439" i="5"/>
  <c r="E433" i="5"/>
  <c r="H433" i="5"/>
  <c r="K433" i="5"/>
  <c r="N433" i="5"/>
  <c r="Q433" i="5"/>
  <c r="T433" i="5"/>
  <c r="K427" i="5"/>
  <c r="N427" i="5"/>
  <c r="E427" i="5"/>
  <c r="H427" i="5"/>
  <c r="Q427" i="5"/>
  <c r="T427" i="5"/>
  <c r="E421" i="5"/>
  <c r="K421" i="5"/>
  <c r="N421" i="5"/>
  <c r="Q421" i="5"/>
  <c r="T421" i="5"/>
  <c r="H421" i="5"/>
  <c r="K415" i="5"/>
  <c r="N415" i="5"/>
  <c r="Q415" i="5"/>
  <c r="E415" i="5"/>
  <c r="H415" i="5"/>
  <c r="T415" i="5"/>
  <c r="E409" i="5"/>
  <c r="H409" i="5"/>
  <c r="K409" i="5"/>
  <c r="N409" i="5"/>
  <c r="Q409" i="5"/>
  <c r="T409" i="5"/>
  <c r="K403" i="5"/>
  <c r="N403" i="5"/>
  <c r="Q403" i="5"/>
  <c r="T403" i="5"/>
  <c r="E403" i="5"/>
  <c r="E397" i="5"/>
  <c r="H397" i="5"/>
  <c r="K397" i="5"/>
  <c r="N397" i="5"/>
  <c r="Q397" i="5"/>
  <c r="K391" i="5"/>
  <c r="N391" i="5"/>
  <c r="Q391" i="5"/>
  <c r="E391" i="5"/>
  <c r="H391" i="5"/>
  <c r="T391" i="5"/>
  <c r="E385" i="5"/>
  <c r="H385" i="5"/>
  <c r="T385" i="5"/>
  <c r="K385" i="5"/>
  <c r="N385" i="5"/>
  <c r="Q385" i="5"/>
  <c r="K379" i="5"/>
  <c r="N379" i="5"/>
  <c r="Q379" i="5"/>
  <c r="T379" i="5"/>
  <c r="E379" i="5"/>
  <c r="H379" i="5"/>
  <c r="E373" i="5"/>
  <c r="H373" i="5"/>
  <c r="K373" i="5"/>
  <c r="N373" i="5"/>
  <c r="Q373" i="5"/>
  <c r="T373" i="5"/>
  <c r="K367" i="5"/>
  <c r="N367" i="5"/>
  <c r="Q367" i="5"/>
  <c r="T367" i="5"/>
  <c r="E367" i="5"/>
  <c r="H367" i="5"/>
  <c r="E361" i="5"/>
  <c r="H361" i="5"/>
  <c r="K361" i="5"/>
  <c r="N361" i="5"/>
  <c r="Q361" i="5"/>
  <c r="K355" i="5"/>
  <c r="N355" i="5"/>
  <c r="Q355" i="5"/>
  <c r="T355" i="5"/>
  <c r="H355" i="5"/>
  <c r="E355" i="5"/>
  <c r="Q349" i="5"/>
  <c r="T349" i="5"/>
  <c r="H349" i="5"/>
  <c r="K349" i="5"/>
  <c r="N349" i="5"/>
  <c r="E349" i="5"/>
  <c r="E343" i="5"/>
  <c r="H343" i="5"/>
  <c r="K343" i="5"/>
  <c r="N343" i="5"/>
  <c r="Q343" i="5"/>
  <c r="T343" i="5"/>
  <c r="Q337" i="5"/>
  <c r="T337" i="5"/>
  <c r="E337" i="5"/>
  <c r="H337" i="5"/>
  <c r="K337" i="5"/>
  <c r="N337" i="5"/>
  <c r="E331" i="5"/>
  <c r="H331" i="5"/>
  <c r="K331" i="5"/>
  <c r="N331" i="5"/>
  <c r="Q331" i="5"/>
  <c r="T331" i="5"/>
  <c r="Q325" i="5"/>
  <c r="T325" i="5"/>
  <c r="E325" i="5"/>
  <c r="K325" i="5"/>
  <c r="N325" i="5"/>
  <c r="H325" i="5"/>
  <c r="E319" i="5"/>
  <c r="H319" i="5"/>
  <c r="K319" i="5"/>
  <c r="N319" i="5"/>
  <c r="Q319" i="5"/>
  <c r="T319" i="5"/>
  <c r="Q313" i="5"/>
  <c r="T313" i="5"/>
  <c r="E313" i="5"/>
  <c r="H313" i="5"/>
  <c r="K313" i="5"/>
  <c r="N313" i="5"/>
  <c r="E307" i="5"/>
  <c r="H307" i="5"/>
  <c r="K307" i="5"/>
  <c r="N307" i="5"/>
  <c r="Q307" i="5"/>
  <c r="T307" i="5"/>
  <c r="Q301" i="5"/>
  <c r="T301" i="5"/>
  <c r="E301" i="5"/>
  <c r="H301" i="5"/>
  <c r="K301" i="5"/>
  <c r="N301" i="5"/>
  <c r="E295" i="5"/>
  <c r="H295" i="5"/>
  <c r="K295" i="5"/>
  <c r="N295" i="5"/>
  <c r="Q295" i="5"/>
  <c r="T295" i="5"/>
  <c r="Q289" i="5"/>
  <c r="T289" i="5"/>
  <c r="E289" i="5"/>
  <c r="H289" i="5"/>
  <c r="K289" i="5"/>
  <c r="N289" i="5"/>
  <c r="E283" i="5"/>
  <c r="H283" i="5"/>
  <c r="K283" i="5"/>
  <c r="N283" i="5"/>
  <c r="Q283" i="5"/>
  <c r="T283" i="5"/>
  <c r="Q277" i="5"/>
  <c r="T277" i="5"/>
  <c r="E277" i="5"/>
  <c r="H277" i="5"/>
  <c r="K277" i="5"/>
  <c r="N277" i="5"/>
  <c r="E271" i="5"/>
  <c r="H271" i="5"/>
  <c r="K271" i="5"/>
  <c r="N271" i="5"/>
  <c r="Q271" i="5"/>
  <c r="T271" i="5"/>
  <c r="Q265" i="5"/>
  <c r="T265" i="5"/>
  <c r="E265" i="5"/>
  <c r="H265" i="5"/>
  <c r="K265" i="5"/>
  <c r="N265" i="5"/>
  <c r="E259" i="5"/>
  <c r="H259" i="5"/>
  <c r="K259" i="5"/>
  <c r="N259" i="5"/>
  <c r="Q259" i="5"/>
  <c r="T259" i="5"/>
  <c r="Q253" i="5"/>
  <c r="T253" i="5"/>
  <c r="E253" i="5"/>
  <c r="H253" i="5"/>
  <c r="K253" i="5"/>
  <c r="N253" i="5"/>
  <c r="E247" i="5"/>
  <c r="H247" i="5"/>
  <c r="K247" i="5"/>
  <c r="N247" i="5"/>
  <c r="Q247" i="5"/>
  <c r="T247" i="5"/>
  <c r="Q241" i="5"/>
  <c r="T241" i="5"/>
  <c r="E241" i="5"/>
  <c r="H241" i="5"/>
  <c r="K241" i="5"/>
  <c r="N241" i="5"/>
  <c r="V566" i="5"/>
  <c r="T560" i="5"/>
  <c r="F559" i="5"/>
  <c r="N556" i="5"/>
  <c r="N554" i="5"/>
  <c r="E552" i="5"/>
  <c r="M549" i="5"/>
  <c r="K542" i="5"/>
  <c r="S539" i="5"/>
  <c r="T537" i="5"/>
  <c r="J535" i="5"/>
  <c r="H530" i="5"/>
  <c r="Q525" i="5"/>
  <c r="G523" i="5"/>
  <c r="G521" i="5"/>
  <c r="O518" i="5"/>
  <c r="N513" i="5"/>
  <c r="N511" i="5"/>
  <c r="G506" i="5"/>
  <c r="K503" i="5"/>
  <c r="O500" i="5"/>
  <c r="S497" i="5"/>
  <c r="E495" i="5"/>
  <c r="R491" i="5"/>
  <c r="E487" i="5"/>
  <c r="Q482" i="5"/>
  <c r="H478" i="5"/>
  <c r="N472" i="5"/>
  <c r="V460" i="5"/>
  <c r="R397" i="5"/>
  <c r="Q562" i="5"/>
  <c r="S560" i="5"/>
  <c r="E559" i="5"/>
  <c r="M556" i="5"/>
  <c r="U553" i="5"/>
  <c r="U551" i="5"/>
  <c r="L549" i="5"/>
  <c r="T546" i="5"/>
  <c r="T544" i="5"/>
  <c r="J542" i="5"/>
  <c r="R539" i="5"/>
  <c r="H537" i="5"/>
  <c r="I535" i="5"/>
  <c r="Q532" i="5"/>
  <c r="G530" i="5"/>
  <c r="H528" i="5"/>
  <c r="P525" i="5"/>
  <c r="F523" i="5"/>
  <c r="N520" i="5"/>
  <c r="N518" i="5"/>
  <c r="E516" i="5"/>
  <c r="M513" i="5"/>
  <c r="M511" i="5"/>
  <c r="T508" i="5"/>
  <c r="F506" i="5"/>
  <c r="J503" i="5"/>
  <c r="N500" i="5"/>
  <c r="R497" i="5"/>
  <c r="U494" i="5"/>
  <c r="F491" i="5"/>
  <c r="P482" i="5"/>
  <c r="O477" i="5"/>
  <c r="M472" i="5"/>
  <c r="G460" i="5"/>
  <c r="S453" i="5"/>
  <c r="K442" i="5"/>
  <c r="O417" i="5"/>
  <c r="P397" i="5"/>
  <c r="P558" i="5"/>
  <c r="G558" i="5"/>
  <c r="J558" i="5"/>
  <c r="M558" i="5"/>
  <c r="P552" i="5"/>
  <c r="S552" i="5"/>
  <c r="V552" i="5"/>
  <c r="P546" i="5"/>
  <c r="G546" i="5"/>
  <c r="G540" i="5"/>
  <c r="J540" i="5"/>
  <c r="M540" i="5"/>
  <c r="P534" i="5"/>
  <c r="M534" i="5"/>
  <c r="S534" i="5"/>
  <c r="V534" i="5"/>
  <c r="P522" i="5"/>
  <c r="G522" i="5"/>
  <c r="J522" i="5"/>
  <c r="M522" i="5"/>
  <c r="M516" i="5"/>
  <c r="P516" i="5"/>
  <c r="S516" i="5"/>
  <c r="P510" i="5"/>
  <c r="V510" i="5"/>
  <c r="G510" i="5"/>
  <c r="G504" i="5"/>
  <c r="J504" i="5"/>
  <c r="M504" i="5"/>
  <c r="P498" i="5"/>
  <c r="J498" i="5"/>
  <c r="M498" i="5"/>
  <c r="S498" i="5"/>
  <c r="G492" i="5"/>
  <c r="S492" i="5"/>
  <c r="V492" i="5"/>
  <c r="M486" i="5"/>
  <c r="P486" i="5"/>
  <c r="P480" i="5"/>
  <c r="S480" i="5"/>
  <c r="V480" i="5"/>
  <c r="G480" i="5"/>
  <c r="S474" i="5"/>
  <c r="V474" i="5"/>
  <c r="P474" i="5"/>
  <c r="G474" i="5"/>
  <c r="P468" i="5"/>
  <c r="V468" i="5"/>
  <c r="S468" i="5"/>
  <c r="G462" i="5"/>
  <c r="J462" i="5"/>
  <c r="M462" i="5"/>
  <c r="P462" i="5"/>
  <c r="P456" i="5"/>
  <c r="G456" i="5"/>
  <c r="J456" i="5"/>
  <c r="M456" i="5"/>
  <c r="G450" i="5"/>
  <c r="J450" i="5"/>
  <c r="M450" i="5"/>
  <c r="P450" i="5"/>
  <c r="S450" i="5"/>
  <c r="V450" i="5"/>
  <c r="P444" i="5"/>
  <c r="J444" i="5"/>
  <c r="M444" i="5"/>
  <c r="S444" i="5"/>
  <c r="V444" i="5"/>
  <c r="G444" i="5"/>
  <c r="M438" i="5"/>
  <c r="P438" i="5"/>
  <c r="S438" i="5"/>
  <c r="V438" i="5"/>
  <c r="G438" i="5"/>
  <c r="P432" i="5"/>
  <c r="S432" i="5"/>
  <c r="V432" i="5"/>
  <c r="G426" i="5"/>
  <c r="P426" i="5"/>
  <c r="S426" i="5"/>
  <c r="V426" i="5"/>
  <c r="M426" i="5"/>
  <c r="P420" i="5"/>
  <c r="S420" i="5"/>
  <c r="G420" i="5"/>
  <c r="J420" i="5"/>
  <c r="M420" i="5"/>
  <c r="V420" i="5"/>
  <c r="G414" i="5"/>
  <c r="J414" i="5"/>
  <c r="M414" i="5"/>
  <c r="P414" i="5"/>
  <c r="S414" i="5"/>
  <c r="V414" i="5"/>
  <c r="P408" i="5"/>
  <c r="S408" i="5"/>
  <c r="V408" i="5"/>
  <c r="G408" i="5"/>
  <c r="J408" i="5"/>
  <c r="G402" i="5"/>
  <c r="J402" i="5"/>
  <c r="M402" i="5"/>
  <c r="P402" i="5"/>
  <c r="S402" i="5"/>
  <c r="V402" i="5"/>
  <c r="P396" i="5"/>
  <c r="S396" i="5"/>
  <c r="J396" i="5"/>
  <c r="M396" i="5"/>
  <c r="V396" i="5"/>
  <c r="G390" i="5"/>
  <c r="M390" i="5"/>
  <c r="S390" i="5"/>
  <c r="V390" i="5"/>
  <c r="P390" i="5"/>
  <c r="J390" i="5"/>
  <c r="P384" i="5"/>
  <c r="S384" i="5"/>
  <c r="V384" i="5"/>
  <c r="G384" i="5"/>
  <c r="J384" i="5"/>
  <c r="M384" i="5"/>
  <c r="G378" i="5"/>
  <c r="J378" i="5"/>
  <c r="M378" i="5"/>
  <c r="P378" i="5"/>
  <c r="S378" i="5"/>
  <c r="V378" i="5"/>
  <c r="P372" i="5"/>
  <c r="S372" i="5"/>
  <c r="V372" i="5"/>
  <c r="G372" i="5"/>
  <c r="J372" i="5"/>
  <c r="M372" i="5"/>
  <c r="G366" i="5"/>
  <c r="J366" i="5"/>
  <c r="M366" i="5"/>
  <c r="P366" i="5"/>
  <c r="S366" i="5"/>
  <c r="V366" i="5"/>
  <c r="P360" i="5"/>
  <c r="S360" i="5"/>
  <c r="V360" i="5"/>
  <c r="G360" i="5"/>
  <c r="J360" i="5"/>
  <c r="M360" i="5"/>
  <c r="G354" i="5"/>
  <c r="J354" i="5"/>
  <c r="M354" i="5"/>
  <c r="P354" i="5"/>
  <c r="S354" i="5"/>
  <c r="V354" i="5"/>
  <c r="M348" i="5"/>
  <c r="P348" i="5"/>
  <c r="S348" i="5"/>
  <c r="G348" i="5"/>
  <c r="J348" i="5"/>
  <c r="V348" i="5"/>
  <c r="G342" i="5"/>
  <c r="V342" i="5"/>
  <c r="J342" i="5"/>
  <c r="M342" i="5"/>
  <c r="P342" i="5"/>
  <c r="S342" i="5"/>
  <c r="M336" i="5"/>
  <c r="P336" i="5"/>
  <c r="S336" i="5"/>
  <c r="V336" i="5"/>
  <c r="J336" i="5"/>
  <c r="G330" i="5"/>
  <c r="J330" i="5"/>
  <c r="V330" i="5"/>
  <c r="M330" i="5"/>
  <c r="P330" i="5"/>
  <c r="S330" i="5"/>
  <c r="M324" i="5"/>
  <c r="P324" i="5"/>
  <c r="S324" i="5"/>
  <c r="V324" i="5"/>
  <c r="G324" i="5"/>
  <c r="J324" i="5"/>
  <c r="G318" i="5"/>
  <c r="J318" i="5"/>
  <c r="M318" i="5"/>
  <c r="S318" i="5"/>
  <c r="V318" i="5"/>
  <c r="P318" i="5"/>
  <c r="M312" i="5"/>
  <c r="P312" i="5"/>
  <c r="S312" i="5"/>
  <c r="V312" i="5"/>
  <c r="G312" i="5"/>
  <c r="J312" i="5"/>
  <c r="G306" i="5"/>
  <c r="J306" i="5"/>
  <c r="M306" i="5"/>
  <c r="P306" i="5"/>
  <c r="S306" i="5"/>
  <c r="V306" i="5"/>
  <c r="M300" i="5"/>
  <c r="P300" i="5"/>
  <c r="S300" i="5"/>
  <c r="V300" i="5"/>
  <c r="J300" i="5"/>
  <c r="G300" i="5"/>
  <c r="G294" i="5"/>
  <c r="J294" i="5"/>
  <c r="M294" i="5"/>
  <c r="P294" i="5"/>
  <c r="S294" i="5"/>
  <c r="V294" i="5"/>
  <c r="M288" i="5"/>
  <c r="P288" i="5"/>
  <c r="S288" i="5"/>
  <c r="V288" i="5"/>
  <c r="J288" i="5"/>
  <c r="G288" i="5"/>
  <c r="G282" i="5"/>
  <c r="J282" i="5"/>
  <c r="M282" i="5"/>
  <c r="P282" i="5"/>
  <c r="S282" i="5"/>
  <c r="V282" i="5"/>
  <c r="M276" i="5"/>
  <c r="P276" i="5"/>
  <c r="S276" i="5"/>
  <c r="V276" i="5"/>
  <c r="G276" i="5"/>
  <c r="J276" i="5"/>
  <c r="G270" i="5"/>
  <c r="J270" i="5"/>
  <c r="M270" i="5"/>
  <c r="P270" i="5"/>
  <c r="S270" i="5"/>
  <c r="V270" i="5"/>
  <c r="M264" i="5"/>
  <c r="P264" i="5"/>
  <c r="S264" i="5"/>
  <c r="V264" i="5"/>
  <c r="G264" i="5"/>
  <c r="J264" i="5"/>
  <c r="G258" i="5"/>
  <c r="J258" i="5"/>
  <c r="M258" i="5"/>
  <c r="P258" i="5"/>
  <c r="S258" i="5"/>
  <c r="V258" i="5"/>
  <c r="M252" i="5"/>
  <c r="P252" i="5"/>
  <c r="S252" i="5"/>
  <c r="V252" i="5"/>
  <c r="G252" i="5"/>
  <c r="J252" i="5"/>
  <c r="G246" i="5"/>
  <c r="J246" i="5"/>
  <c r="M246" i="5"/>
  <c r="P246" i="5"/>
  <c r="S246" i="5"/>
  <c r="V246" i="5"/>
  <c r="M240" i="5"/>
  <c r="P240" i="5"/>
  <c r="S240" i="5"/>
  <c r="V240" i="5"/>
  <c r="G240" i="5"/>
  <c r="J240" i="5"/>
  <c r="P569" i="5"/>
  <c r="M565" i="5"/>
  <c r="R560" i="5"/>
  <c r="V558" i="5"/>
  <c r="T553" i="5"/>
  <c r="T551" i="5"/>
  <c r="K549" i="5"/>
  <c r="S546" i="5"/>
  <c r="S544" i="5"/>
  <c r="I542" i="5"/>
  <c r="Q539" i="5"/>
  <c r="G537" i="5"/>
  <c r="H535" i="5"/>
  <c r="P532" i="5"/>
  <c r="F530" i="5"/>
  <c r="G528" i="5"/>
  <c r="O525" i="5"/>
  <c r="E523" i="5"/>
  <c r="M520" i="5"/>
  <c r="M518" i="5"/>
  <c r="U515" i="5"/>
  <c r="L513" i="5"/>
  <c r="L511" i="5"/>
  <c r="S508" i="5"/>
  <c r="E506" i="5"/>
  <c r="I503" i="5"/>
  <c r="M500" i="5"/>
  <c r="Q497" i="5"/>
  <c r="S494" i="5"/>
  <c r="E491" i="5"/>
  <c r="O482" i="5"/>
  <c r="U476" i="5"/>
  <c r="U467" i="5"/>
  <c r="I452" i="5"/>
  <c r="J442" i="5"/>
  <c r="H432" i="5"/>
  <c r="N417" i="5"/>
  <c r="H396" i="5"/>
  <c r="E336" i="5"/>
  <c r="F157" i="5"/>
  <c r="I157" i="5"/>
  <c r="L157" i="5"/>
  <c r="R151" i="5"/>
  <c r="U151" i="5"/>
  <c r="F145" i="5"/>
  <c r="I145" i="5"/>
  <c r="L145" i="5"/>
  <c r="R139" i="5"/>
  <c r="U139" i="5"/>
  <c r="F139" i="5"/>
  <c r="F133" i="5"/>
  <c r="I133" i="5"/>
  <c r="L133" i="5"/>
  <c r="O133" i="5"/>
  <c r="R133" i="5"/>
  <c r="R127" i="5"/>
  <c r="U127" i="5"/>
  <c r="F127" i="5"/>
  <c r="F121" i="5"/>
  <c r="I121" i="5"/>
  <c r="R121" i="5"/>
  <c r="L121" i="5"/>
  <c r="R115" i="5"/>
  <c r="U115" i="5"/>
  <c r="F115" i="5"/>
  <c r="O115" i="5"/>
  <c r="I115" i="5"/>
  <c r="L115" i="5"/>
  <c r="F109" i="5"/>
  <c r="I109" i="5"/>
  <c r="R109" i="5"/>
  <c r="U109" i="5"/>
  <c r="R103" i="5"/>
  <c r="U103" i="5"/>
  <c r="F103" i="5"/>
  <c r="O103" i="5"/>
  <c r="F97" i="5"/>
  <c r="I97" i="5"/>
  <c r="L97" i="5"/>
  <c r="R97" i="5"/>
  <c r="O97" i="5"/>
  <c r="U97" i="5"/>
  <c r="R91" i="5"/>
  <c r="U91" i="5"/>
  <c r="F91" i="5"/>
  <c r="O91" i="5"/>
  <c r="I91" i="5"/>
  <c r="L91" i="5"/>
  <c r="F85" i="5"/>
  <c r="I85" i="5"/>
  <c r="L85" i="5"/>
  <c r="R85" i="5"/>
  <c r="U85" i="5"/>
  <c r="R79" i="5"/>
  <c r="U79" i="5"/>
  <c r="F79" i="5"/>
  <c r="I79" i="5"/>
  <c r="L79" i="5"/>
  <c r="O79" i="5"/>
  <c r="F73" i="5"/>
  <c r="I73" i="5"/>
  <c r="L73" i="5"/>
  <c r="R73" i="5"/>
  <c r="U73" i="5"/>
  <c r="R67" i="5"/>
  <c r="U67" i="5"/>
  <c r="F67" i="5"/>
  <c r="I67" i="5"/>
  <c r="L67" i="5"/>
  <c r="O67" i="5"/>
  <c r="F61" i="5"/>
  <c r="I61" i="5"/>
  <c r="L61" i="5"/>
  <c r="R61" i="5"/>
  <c r="U61" i="5"/>
  <c r="O61" i="5"/>
  <c r="R55" i="5"/>
  <c r="U55" i="5"/>
  <c r="F55" i="5"/>
  <c r="I55" i="5"/>
  <c r="L55" i="5"/>
  <c r="O55" i="5"/>
  <c r="F49" i="5"/>
  <c r="I49" i="5"/>
  <c r="L49" i="5"/>
  <c r="R49" i="5"/>
  <c r="U49" i="5"/>
  <c r="O49" i="5"/>
  <c r="R43" i="5"/>
  <c r="U43" i="5"/>
  <c r="F43" i="5"/>
  <c r="I43" i="5"/>
  <c r="L43" i="5"/>
  <c r="O43" i="5"/>
  <c r="F37" i="5"/>
  <c r="I37" i="5"/>
  <c r="L37" i="5"/>
  <c r="R37" i="5"/>
  <c r="U37" i="5"/>
  <c r="O37" i="5"/>
  <c r="R31" i="5"/>
  <c r="U31" i="5"/>
  <c r="F31" i="5"/>
  <c r="I31" i="5"/>
  <c r="L31" i="5"/>
  <c r="O31" i="5"/>
  <c r="F25" i="5"/>
  <c r="I25" i="5"/>
  <c r="L25" i="5"/>
  <c r="O25" i="5"/>
  <c r="R25" i="5"/>
  <c r="U25" i="5"/>
  <c r="R19" i="5"/>
  <c r="U19" i="5"/>
  <c r="F19" i="5"/>
  <c r="I19" i="5"/>
  <c r="L19" i="5"/>
  <c r="O19" i="5"/>
  <c r="F13" i="5"/>
  <c r="I13" i="5"/>
  <c r="L13" i="5"/>
  <c r="O13" i="5"/>
  <c r="R13" i="5"/>
  <c r="U13" i="5"/>
  <c r="S238" i="5"/>
  <c r="M237" i="5"/>
  <c r="G236" i="5"/>
  <c r="S234" i="5"/>
  <c r="M233" i="5"/>
  <c r="G232" i="5"/>
  <c r="S230" i="5"/>
  <c r="M229" i="5"/>
  <c r="G228" i="5"/>
  <c r="S226" i="5"/>
  <c r="M225" i="5"/>
  <c r="G224" i="5"/>
  <c r="S222" i="5"/>
  <c r="L221" i="5"/>
  <c r="V219" i="5"/>
  <c r="N218" i="5"/>
  <c r="V216" i="5"/>
  <c r="N215" i="5"/>
  <c r="F214" i="5"/>
  <c r="P212" i="5"/>
  <c r="H211" i="5"/>
  <c r="R209" i="5"/>
  <c r="J208" i="5"/>
  <c r="T206" i="5"/>
  <c r="L205" i="5"/>
  <c r="V203" i="5"/>
  <c r="N202" i="5"/>
  <c r="V200" i="5"/>
  <c r="N199" i="5"/>
  <c r="F198" i="5"/>
  <c r="P196" i="5"/>
  <c r="H195" i="5"/>
  <c r="R193" i="5"/>
  <c r="J192" i="5"/>
  <c r="T190" i="5"/>
  <c r="L189" i="5"/>
  <c r="V187" i="5"/>
  <c r="N186" i="5"/>
  <c r="V184" i="5"/>
  <c r="N183" i="5"/>
  <c r="F182" i="5"/>
  <c r="P180" i="5"/>
  <c r="H179" i="5"/>
  <c r="R177" i="5"/>
  <c r="J176" i="5"/>
  <c r="T174" i="5"/>
  <c r="L173" i="5"/>
  <c r="V171" i="5"/>
  <c r="N170" i="5"/>
  <c r="V168" i="5"/>
  <c r="N167" i="5"/>
  <c r="F166" i="5"/>
  <c r="O164" i="5"/>
  <c r="F163" i="5"/>
  <c r="J159" i="5"/>
  <c r="O157" i="5"/>
  <c r="M155" i="5"/>
  <c r="R153" i="5"/>
  <c r="P151" i="5"/>
  <c r="U149" i="5"/>
  <c r="H148" i="5"/>
  <c r="F146" i="5"/>
  <c r="K144" i="5"/>
  <c r="H142" i="5"/>
  <c r="M139" i="5"/>
  <c r="Q136" i="5"/>
  <c r="U133" i="5"/>
  <c r="K130" i="5"/>
  <c r="M127" i="5"/>
  <c r="O117" i="5"/>
  <c r="O85" i="5"/>
  <c r="H157" i="5"/>
  <c r="K157" i="5"/>
  <c r="H145" i="5"/>
  <c r="K145" i="5"/>
  <c r="T139" i="5"/>
  <c r="E139" i="5"/>
  <c r="H133" i="5"/>
  <c r="K133" i="5"/>
  <c r="N133" i="5"/>
  <c r="Q133" i="5"/>
  <c r="T127" i="5"/>
  <c r="E127" i="5"/>
  <c r="K121" i="5"/>
  <c r="Q121" i="5"/>
  <c r="E121" i="5"/>
  <c r="H121" i="5"/>
  <c r="N121" i="5"/>
  <c r="Q115" i="5"/>
  <c r="E115" i="5"/>
  <c r="K115" i="5"/>
  <c r="N115" i="5"/>
  <c r="H115" i="5"/>
  <c r="T115" i="5"/>
  <c r="E109" i="5"/>
  <c r="K109" i="5"/>
  <c r="N109" i="5"/>
  <c r="Q109" i="5"/>
  <c r="T109" i="5"/>
  <c r="Q103" i="5"/>
  <c r="T103" i="5"/>
  <c r="E103" i="5"/>
  <c r="K103" i="5"/>
  <c r="N103" i="5"/>
  <c r="E97" i="5"/>
  <c r="H97" i="5"/>
  <c r="K97" i="5"/>
  <c r="N97" i="5"/>
  <c r="Q97" i="5"/>
  <c r="T97" i="5"/>
  <c r="Q91" i="5"/>
  <c r="T91" i="5"/>
  <c r="E91" i="5"/>
  <c r="K91" i="5"/>
  <c r="N91" i="5"/>
  <c r="H91" i="5"/>
  <c r="E85" i="5"/>
  <c r="H85" i="5"/>
  <c r="K85" i="5"/>
  <c r="N85" i="5"/>
  <c r="Q85" i="5"/>
  <c r="Q79" i="5"/>
  <c r="T79" i="5"/>
  <c r="E79" i="5"/>
  <c r="K79" i="5"/>
  <c r="N79" i="5"/>
  <c r="H79" i="5"/>
  <c r="E73" i="5"/>
  <c r="H73" i="5"/>
  <c r="K73" i="5"/>
  <c r="N73" i="5"/>
  <c r="Q73" i="5"/>
  <c r="Q67" i="5"/>
  <c r="T67" i="5"/>
  <c r="E67" i="5"/>
  <c r="K67" i="5"/>
  <c r="N67" i="5"/>
  <c r="H67" i="5"/>
  <c r="E61" i="5"/>
  <c r="H61" i="5"/>
  <c r="K61" i="5"/>
  <c r="N61" i="5"/>
  <c r="Q61" i="5"/>
  <c r="T61" i="5"/>
  <c r="Q55" i="5"/>
  <c r="T55" i="5"/>
  <c r="E55" i="5"/>
  <c r="K55" i="5"/>
  <c r="N55" i="5"/>
  <c r="E49" i="5"/>
  <c r="H49" i="5"/>
  <c r="K49" i="5"/>
  <c r="N49" i="5"/>
  <c r="Q49" i="5"/>
  <c r="T49" i="5"/>
  <c r="Q43" i="5"/>
  <c r="T43" i="5"/>
  <c r="E43" i="5"/>
  <c r="K43" i="5"/>
  <c r="N43" i="5"/>
  <c r="H43" i="5"/>
  <c r="E37" i="5"/>
  <c r="H37" i="5"/>
  <c r="K37" i="5"/>
  <c r="N37" i="5"/>
  <c r="Q37" i="5"/>
  <c r="Q31" i="5"/>
  <c r="T31" i="5"/>
  <c r="E31" i="5"/>
  <c r="K31" i="5"/>
  <c r="N31" i="5"/>
  <c r="H31" i="5"/>
  <c r="E25" i="5"/>
  <c r="H25" i="5"/>
  <c r="K25" i="5"/>
  <c r="N25" i="5"/>
  <c r="Q25" i="5"/>
  <c r="T25" i="5"/>
  <c r="Q19" i="5"/>
  <c r="T19" i="5"/>
  <c r="E19" i="5"/>
  <c r="K19" i="5"/>
  <c r="N19" i="5"/>
  <c r="H19" i="5"/>
  <c r="E13" i="5"/>
  <c r="H13" i="5"/>
  <c r="K13" i="5"/>
  <c r="N13" i="5"/>
  <c r="Q13" i="5"/>
  <c r="T13" i="5"/>
  <c r="R238" i="5"/>
  <c r="L237" i="5"/>
  <c r="F236" i="5"/>
  <c r="R234" i="5"/>
  <c r="L233" i="5"/>
  <c r="F232" i="5"/>
  <c r="R230" i="5"/>
  <c r="L229" i="5"/>
  <c r="F228" i="5"/>
  <c r="R226" i="5"/>
  <c r="L225" i="5"/>
  <c r="F224" i="5"/>
  <c r="R222" i="5"/>
  <c r="K221" i="5"/>
  <c r="U219" i="5"/>
  <c r="K218" i="5"/>
  <c r="U216" i="5"/>
  <c r="M215" i="5"/>
  <c r="E214" i="5"/>
  <c r="O212" i="5"/>
  <c r="G211" i="5"/>
  <c r="Q209" i="5"/>
  <c r="I208" i="5"/>
  <c r="S206" i="5"/>
  <c r="K205" i="5"/>
  <c r="U203" i="5"/>
  <c r="K202" i="5"/>
  <c r="U200" i="5"/>
  <c r="M199" i="5"/>
  <c r="E198" i="5"/>
  <c r="O196" i="5"/>
  <c r="G195" i="5"/>
  <c r="Q193" i="5"/>
  <c r="I192" i="5"/>
  <c r="S190" i="5"/>
  <c r="K189" i="5"/>
  <c r="U187" i="5"/>
  <c r="K186" i="5"/>
  <c r="U184" i="5"/>
  <c r="M183" i="5"/>
  <c r="E182" i="5"/>
  <c r="O180" i="5"/>
  <c r="G179" i="5"/>
  <c r="Q177" i="5"/>
  <c r="I176" i="5"/>
  <c r="S174" i="5"/>
  <c r="K173" i="5"/>
  <c r="U171" i="5"/>
  <c r="K170" i="5"/>
  <c r="U168" i="5"/>
  <c r="M167" i="5"/>
  <c r="E166" i="5"/>
  <c r="N164" i="5"/>
  <c r="E163" i="5"/>
  <c r="V160" i="5"/>
  <c r="I159" i="5"/>
  <c r="N157" i="5"/>
  <c r="L155" i="5"/>
  <c r="Q153" i="5"/>
  <c r="O151" i="5"/>
  <c r="T149" i="5"/>
  <c r="V147" i="5"/>
  <c r="E146" i="5"/>
  <c r="J144" i="5"/>
  <c r="L139" i="5"/>
  <c r="T133" i="5"/>
  <c r="J130" i="5"/>
  <c r="L127" i="5"/>
  <c r="N117" i="5"/>
  <c r="Q238" i="5"/>
  <c r="K237" i="5"/>
  <c r="E236" i="5"/>
  <c r="Q234" i="5"/>
  <c r="K233" i="5"/>
  <c r="E232" i="5"/>
  <c r="Q230" i="5"/>
  <c r="K229" i="5"/>
  <c r="E228" i="5"/>
  <c r="Q226" i="5"/>
  <c r="K225" i="5"/>
  <c r="E224" i="5"/>
  <c r="Q222" i="5"/>
  <c r="J221" i="5"/>
  <c r="T219" i="5"/>
  <c r="J218" i="5"/>
  <c r="T216" i="5"/>
  <c r="L215" i="5"/>
  <c r="V213" i="5"/>
  <c r="N212" i="5"/>
  <c r="F211" i="5"/>
  <c r="P209" i="5"/>
  <c r="H208" i="5"/>
  <c r="R206" i="5"/>
  <c r="J205" i="5"/>
  <c r="T203" i="5"/>
  <c r="J202" i="5"/>
  <c r="T200" i="5"/>
  <c r="L199" i="5"/>
  <c r="V197" i="5"/>
  <c r="N196" i="5"/>
  <c r="F195" i="5"/>
  <c r="P193" i="5"/>
  <c r="H192" i="5"/>
  <c r="R190" i="5"/>
  <c r="J189" i="5"/>
  <c r="T187" i="5"/>
  <c r="J186" i="5"/>
  <c r="T184" i="5"/>
  <c r="L183" i="5"/>
  <c r="V181" i="5"/>
  <c r="N180" i="5"/>
  <c r="F179" i="5"/>
  <c r="P177" i="5"/>
  <c r="H176" i="5"/>
  <c r="R174" i="5"/>
  <c r="J173" i="5"/>
  <c r="T171" i="5"/>
  <c r="J170" i="5"/>
  <c r="T168" i="5"/>
  <c r="L167" i="5"/>
  <c r="V165" i="5"/>
  <c r="M164" i="5"/>
  <c r="U160" i="5"/>
  <c r="H159" i="5"/>
  <c r="J157" i="5"/>
  <c r="K155" i="5"/>
  <c r="P153" i="5"/>
  <c r="N151" i="5"/>
  <c r="S149" i="5"/>
  <c r="Q147" i="5"/>
  <c r="V145" i="5"/>
  <c r="I144" i="5"/>
  <c r="K139" i="5"/>
  <c r="I130" i="5"/>
  <c r="K127" i="5"/>
  <c r="K122" i="5"/>
  <c r="T73" i="5"/>
  <c r="M162" i="5"/>
  <c r="S162" i="5"/>
  <c r="M150" i="5"/>
  <c r="S150" i="5"/>
  <c r="M138" i="5"/>
  <c r="S138" i="5"/>
  <c r="V138" i="5"/>
  <c r="G132" i="5"/>
  <c r="J132" i="5"/>
  <c r="M132" i="5"/>
  <c r="G126" i="5"/>
  <c r="M126" i="5"/>
  <c r="P126" i="5"/>
  <c r="S126" i="5"/>
  <c r="V126" i="5"/>
  <c r="J120" i="5"/>
  <c r="S120" i="5"/>
  <c r="V120" i="5"/>
  <c r="M120" i="5"/>
  <c r="P120" i="5"/>
  <c r="P114" i="5"/>
  <c r="S114" i="5"/>
  <c r="V114" i="5"/>
  <c r="G114" i="5"/>
  <c r="J114" i="5"/>
  <c r="M114" i="5"/>
  <c r="G108" i="5"/>
  <c r="J108" i="5"/>
  <c r="M108" i="5"/>
  <c r="P108" i="5"/>
  <c r="S108" i="5"/>
  <c r="V108" i="5"/>
  <c r="M102" i="5"/>
  <c r="P102" i="5"/>
  <c r="S102" i="5"/>
  <c r="V102" i="5"/>
  <c r="G102" i="5"/>
  <c r="J102" i="5"/>
  <c r="G96" i="5"/>
  <c r="J96" i="5"/>
  <c r="M96" i="5"/>
  <c r="P96" i="5"/>
  <c r="S96" i="5"/>
  <c r="V96" i="5"/>
  <c r="M90" i="5"/>
  <c r="P90" i="5"/>
  <c r="S90" i="5"/>
  <c r="V90" i="5"/>
  <c r="G90" i="5"/>
  <c r="J90" i="5"/>
  <c r="G84" i="5"/>
  <c r="J84" i="5"/>
  <c r="M84" i="5"/>
  <c r="P84" i="5"/>
  <c r="S84" i="5"/>
  <c r="V84" i="5"/>
  <c r="M78" i="5"/>
  <c r="P78" i="5"/>
  <c r="S78" i="5"/>
  <c r="V78" i="5"/>
  <c r="G78" i="5"/>
  <c r="J78" i="5"/>
  <c r="G72" i="5"/>
  <c r="J72" i="5"/>
  <c r="M72" i="5"/>
  <c r="P72" i="5"/>
  <c r="S72" i="5"/>
  <c r="V72" i="5"/>
  <c r="M66" i="5"/>
  <c r="P66" i="5"/>
  <c r="S66" i="5"/>
  <c r="V66" i="5"/>
  <c r="G66" i="5"/>
  <c r="J66" i="5"/>
  <c r="G60" i="5"/>
  <c r="J60" i="5"/>
  <c r="M60" i="5"/>
  <c r="P60" i="5"/>
  <c r="S60" i="5"/>
  <c r="V60" i="5"/>
  <c r="M54" i="5"/>
  <c r="P54" i="5"/>
  <c r="S54" i="5"/>
  <c r="V54" i="5"/>
  <c r="G54" i="5"/>
  <c r="J54" i="5"/>
  <c r="G48" i="5"/>
  <c r="J48" i="5"/>
  <c r="M48" i="5"/>
  <c r="P48" i="5"/>
  <c r="S48" i="5"/>
  <c r="V48" i="5"/>
  <c r="M42" i="5"/>
  <c r="P42" i="5"/>
  <c r="S42" i="5"/>
  <c r="V42" i="5"/>
  <c r="G42" i="5"/>
  <c r="J42" i="5"/>
  <c r="G36" i="5"/>
  <c r="J36" i="5"/>
  <c r="M36" i="5"/>
  <c r="P36" i="5"/>
  <c r="S36" i="5"/>
  <c r="V36" i="5"/>
  <c r="M30" i="5"/>
  <c r="P30" i="5"/>
  <c r="S30" i="5"/>
  <c r="V30" i="5"/>
  <c r="G30" i="5"/>
  <c r="J30" i="5"/>
  <c r="G24" i="5"/>
  <c r="J24" i="5"/>
  <c r="M24" i="5"/>
  <c r="P24" i="5"/>
  <c r="S24" i="5"/>
  <c r="V24" i="5"/>
  <c r="M18" i="5"/>
  <c r="P18" i="5"/>
  <c r="S18" i="5"/>
  <c r="V18" i="5"/>
  <c r="G18" i="5"/>
  <c r="J18" i="5"/>
  <c r="E12" i="5"/>
  <c r="P238" i="5"/>
  <c r="J237" i="5"/>
  <c r="V235" i="5"/>
  <c r="P234" i="5"/>
  <c r="J233" i="5"/>
  <c r="V231" i="5"/>
  <c r="P230" i="5"/>
  <c r="J229" i="5"/>
  <c r="V227" i="5"/>
  <c r="P226" i="5"/>
  <c r="J225" i="5"/>
  <c r="V223" i="5"/>
  <c r="P222" i="5"/>
  <c r="I221" i="5"/>
  <c r="Q219" i="5"/>
  <c r="I218" i="5"/>
  <c r="S216" i="5"/>
  <c r="K215" i="5"/>
  <c r="U213" i="5"/>
  <c r="M212" i="5"/>
  <c r="E211" i="5"/>
  <c r="O209" i="5"/>
  <c r="G208" i="5"/>
  <c r="Q206" i="5"/>
  <c r="I205" i="5"/>
  <c r="Q203" i="5"/>
  <c r="I202" i="5"/>
  <c r="S200" i="5"/>
  <c r="K199" i="5"/>
  <c r="U197" i="5"/>
  <c r="M196" i="5"/>
  <c r="E195" i="5"/>
  <c r="O193" i="5"/>
  <c r="G192" i="5"/>
  <c r="Q190" i="5"/>
  <c r="I189" i="5"/>
  <c r="Q187" i="5"/>
  <c r="I186" i="5"/>
  <c r="S184" i="5"/>
  <c r="K183" i="5"/>
  <c r="U181" i="5"/>
  <c r="M180" i="5"/>
  <c r="E179" i="5"/>
  <c r="O177" i="5"/>
  <c r="G176" i="5"/>
  <c r="Q174" i="5"/>
  <c r="I173" i="5"/>
  <c r="Q171" i="5"/>
  <c r="I170" i="5"/>
  <c r="S168" i="5"/>
  <c r="K167" i="5"/>
  <c r="U165" i="5"/>
  <c r="L164" i="5"/>
  <c r="T160" i="5"/>
  <c r="G159" i="5"/>
  <c r="E157" i="5"/>
  <c r="J155" i="5"/>
  <c r="M151" i="5"/>
  <c r="R149" i="5"/>
  <c r="P147" i="5"/>
  <c r="U145" i="5"/>
  <c r="H144" i="5"/>
  <c r="J139" i="5"/>
  <c r="E133" i="5"/>
  <c r="H130" i="5"/>
  <c r="J127" i="5"/>
  <c r="I122" i="5"/>
  <c r="L103" i="5"/>
  <c r="O73" i="5"/>
  <c r="L162" i="5"/>
  <c r="O162" i="5"/>
  <c r="R162" i="5"/>
  <c r="L150" i="5"/>
  <c r="O150" i="5"/>
  <c r="R150" i="5"/>
  <c r="L138" i="5"/>
  <c r="O138" i="5"/>
  <c r="R138" i="5"/>
  <c r="U138" i="5"/>
  <c r="F132" i="5"/>
  <c r="I132" i="5"/>
  <c r="L132" i="5"/>
  <c r="L126" i="5"/>
  <c r="O126" i="5"/>
  <c r="R126" i="5"/>
  <c r="U126" i="5"/>
  <c r="L120" i="5"/>
  <c r="O120" i="5"/>
  <c r="R120" i="5"/>
  <c r="U120" i="5"/>
  <c r="L114" i="5"/>
  <c r="O114" i="5"/>
  <c r="I114" i="5"/>
  <c r="R114" i="5"/>
  <c r="U114" i="5"/>
  <c r="F108" i="5"/>
  <c r="L108" i="5"/>
  <c r="U108" i="5"/>
  <c r="L102" i="5"/>
  <c r="O102" i="5"/>
  <c r="R102" i="5"/>
  <c r="I102" i="5"/>
  <c r="F96" i="5"/>
  <c r="L96" i="5"/>
  <c r="U96" i="5"/>
  <c r="O96" i="5"/>
  <c r="R96" i="5"/>
  <c r="L90" i="5"/>
  <c r="O90" i="5"/>
  <c r="R90" i="5"/>
  <c r="I90" i="5"/>
  <c r="F90" i="5"/>
  <c r="U90" i="5"/>
  <c r="F84" i="5"/>
  <c r="L84" i="5"/>
  <c r="O84" i="5"/>
  <c r="U84" i="5"/>
  <c r="I84" i="5"/>
  <c r="L78" i="5"/>
  <c r="O78" i="5"/>
  <c r="R78" i="5"/>
  <c r="F78" i="5"/>
  <c r="I78" i="5"/>
  <c r="U78" i="5"/>
  <c r="F72" i="5"/>
  <c r="L72" i="5"/>
  <c r="O72" i="5"/>
  <c r="R72" i="5"/>
  <c r="U72" i="5"/>
  <c r="L66" i="5"/>
  <c r="O66" i="5"/>
  <c r="R66" i="5"/>
  <c r="F66" i="5"/>
  <c r="I66" i="5"/>
  <c r="U66" i="5"/>
  <c r="F60" i="5"/>
  <c r="L60" i="5"/>
  <c r="O60" i="5"/>
  <c r="R60" i="5"/>
  <c r="U60" i="5"/>
  <c r="I60" i="5"/>
  <c r="L54" i="5"/>
  <c r="O54" i="5"/>
  <c r="R54" i="5"/>
  <c r="F54" i="5"/>
  <c r="I54" i="5"/>
  <c r="F48" i="5"/>
  <c r="L48" i="5"/>
  <c r="O48" i="5"/>
  <c r="R48" i="5"/>
  <c r="U48" i="5"/>
  <c r="I48" i="5"/>
  <c r="L42" i="5"/>
  <c r="O42" i="5"/>
  <c r="R42" i="5"/>
  <c r="F42" i="5"/>
  <c r="I42" i="5"/>
  <c r="U42" i="5"/>
  <c r="F36" i="5"/>
  <c r="I36" i="5"/>
  <c r="L36" i="5"/>
  <c r="O36" i="5"/>
  <c r="R36" i="5"/>
  <c r="U36" i="5"/>
  <c r="L30" i="5"/>
  <c r="O30" i="5"/>
  <c r="R30" i="5"/>
  <c r="U30" i="5"/>
  <c r="F30" i="5"/>
  <c r="I30" i="5"/>
  <c r="F24" i="5"/>
  <c r="I24" i="5"/>
  <c r="L24" i="5"/>
  <c r="O24" i="5"/>
  <c r="R24" i="5"/>
  <c r="U24" i="5"/>
  <c r="L18" i="5"/>
  <c r="O18" i="5"/>
  <c r="R18" i="5"/>
  <c r="U18" i="5"/>
  <c r="F18" i="5"/>
  <c r="I18" i="5"/>
  <c r="G12" i="5"/>
  <c r="O238" i="5"/>
  <c r="I237" i="5"/>
  <c r="U235" i="5"/>
  <c r="O234" i="5"/>
  <c r="I233" i="5"/>
  <c r="U231" i="5"/>
  <c r="O230" i="5"/>
  <c r="I229" i="5"/>
  <c r="U227" i="5"/>
  <c r="O226" i="5"/>
  <c r="I225" i="5"/>
  <c r="U223" i="5"/>
  <c r="O222" i="5"/>
  <c r="H221" i="5"/>
  <c r="P219" i="5"/>
  <c r="H218" i="5"/>
  <c r="R216" i="5"/>
  <c r="J215" i="5"/>
  <c r="T213" i="5"/>
  <c r="L212" i="5"/>
  <c r="V210" i="5"/>
  <c r="N209" i="5"/>
  <c r="F208" i="5"/>
  <c r="P206" i="5"/>
  <c r="H205" i="5"/>
  <c r="P203" i="5"/>
  <c r="H202" i="5"/>
  <c r="R200" i="5"/>
  <c r="J199" i="5"/>
  <c r="T197" i="5"/>
  <c r="L196" i="5"/>
  <c r="V194" i="5"/>
  <c r="N193" i="5"/>
  <c r="F192" i="5"/>
  <c r="P190" i="5"/>
  <c r="H189" i="5"/>
  <c r="P187" i="5"/>
  <c r="H186" i="5"/>
  <c r="R184" i="5"/>
  <c r="J183" i="5"/>
  <c r="T181" i="5"/>
  <c r="L180" i="5"/>
  <c r="V178" i="5"/>
  <c r="N177" i="5"/>
  <c r="F176" i="5"/>
  <c r="P174" i="5"/>
  <c r="H173" i="5"/>
  <c r="P171" i="5"/>
  <c r="H170" i="5"/>
  <c r="R168" i="5"/>
  <c r="J167" i="5"/>
  <c r="T165" i="5"/>
  <c r="K164" i="5"/>
  <c r="T162" i="5"/>
  <c r="S160" i="5"/>
  <c r="V156" i="5"/>
  <c r="I155" i="5"/>
  <c r="N153" i="5"/>
  <c r="L151" i="5"/>
  <c r="Q149" i="5"/>
  <c r="O147" i="5"/>
  <c r="T145" i="5"/>
  <c r="V143" i="5"/>
  <c r="V141" i="5"/>
  <c r="I139" i="5"/>
  <c r="V135" i="5"/>
  <c r="V132" i="5"/>
  <c r="I127" i="5"/>
  <c r="H122" i="5"/>
  <c r="I103" i="5"/>
  <c r="N150" i="5"/>
  <c r="Q150" i="5"/>
  <c r="N138" i="5"/>
  <c r="Q138" i="5"/>
  <c r="T138" i="5"/>
  <c r="E132" i="5"/>
  <c r="H132" i="5"/>
  <c r="K132" i="5"/>
  <c r="N126" i="5"/>
  <c r="Q126" i="5"/>
  <c r="T126" i="5"/>
  <c r="E120" i="5"/>
  <c r="K120" i="5"/>
  <c r="N120" i="5"/>
  <c r="Q120" i="5"/>
  <c r="T120" i="5"/>
  <c r="K114" i="5"/>
  <c r="Q114" i="5"/>
  <c r="E114" i="5"/>
  <c r="H114" i="5"/>
  <c r="N114" i="5"/>
  <c r="T114" i="5"/>
  <c r="E108" i="5"/>
  <c r="H108" i="5"/>
  <c r="K108" i="5"/>
  <c r="Q108" i="5"/>
  <c r="T108" i="5"/>
  <c r="K102" i="5"/>
  <c r="N102" i="5"/>
  <c r="Q102" i="5"/>
  <c r="T102" i="5"/>
  <c r="E102" i="5"/>
  <c r="H102" i="5"/>
  <c r="E96" i="5"/>
  <c r="H96" i="5"/>
  <c r="K96" i="5"/>
  <c r="Q96" i="5"/>
  <c r="T96" i="5"/>
  <c r="K90" i="5"/>
  <c r="N90" i="5"/>
  <c r="Q90" i="5"/>
  <c r="T90" i="5"/>
  <c r="E90" i="5"/>
  <c r="H90" i="5"/>
  <c r="E84" i="5"/>
  <c r="H84" i="5"/>
  <c r="K84" i="5"/>
  <c r="Q84" i="5"/>
  <c r="T84" i="5"/>
  <c r="N84" i="5"/>
  <c r="K78" i="5"/>
  <c r="N78" i="5"/>
  <c r="Q78" i="5"/>
  <c r="T78" i="5"/>
  <c r="E78" i="5"/>
  <c r="H78" i="5"/>
  <c r="E72" i="5"/>
  <c r="H72" i="5"/>
  <c r="K72" i="5"/>
  <c r="Q72" i="5"/>
  <c r="T72" i="5"/>
  <c r="K66" i="5"/>
  <c r="N66" i="5"/>
  <c r="Q66" i="5"/>
  <c r="T66" i="5"/>
  <c r="E66" i="5"/>
  <c r="H66" i="5"/>
  <c r="E60" i="5"/>
  <c r="H60" i="5"/>
  <c r="K60" i="5"/>
  <c r="Q60" i="5"/>
  <c r="T60" i="5"/>
  <c r="N60" i="5"/>
  <c r="K54" i="5"/>
  <c r="N54" i="5"/>
  <c r="Q54" i="5"/>
  <c r="T54" i="5"/>
  <c r="E54" i="5"/>
  <c r="H54" i="5"/>
  <c r="E48" i="5"/>
  <c r="H48" i="5"/>
  <c r="K48" i="5"/>
  <c r="Q48" i="5"/>
  <c r="T48" i="5"/>
  <c r="N48" i="5"/>
  <c r="K42" i="5"/>
  <c r="N42" i="5"/>
  <c r="Q42" i="5"/>
  <c r="T42" i="5"/>
  <c r="E42" i="5"/>
  <c r="H42" i="5"/>
  <c r="E36" i="5"/>
  <c r="H36" i="5"/>
  <c r="K36" i="5"/>
  <c r="Q36" i="5"/>
  <c r="T36" i="5"/>
  <c r="N36" i="5"/>
  <c r="K30" i="5"/>
  <c r="N30" i="5"/>
  <c r="Q30" i="5"/>
  <c r="T30" i="5"/>
  <c r="E30" i="5"/>
  <c r="H30" i="5"/>
  <c r="E24" i="5"/>
  <c r="H24" i="5"/>
  <c r="K24" i="5"/>
  <c r="Q24" i="5"/>
  <c r="T24" i="5"/>
  <c r="N24" i="5"/>
  <c r="K18" i="5"/>
  <c r="N18" i="5"/>
  <c r="Q18" i="5"/>
  <c r="T18" i="5"/>
  <c r="E18" i="5"/>
  <c r="H18" i="5"/>
  <c r="F12" i="5"/>
  <c r="N238" i="5"/>
  <c r="H237" i="5"/>
  <c r="T235" i="5"/>
  <c r="N234" i="5"/>
  <c r="H233" i="5"/>
  <c r="T231" i="5"/>
  <c r="N230" i="5"/>
  <c r="H229" i="5"/>
  <c r="T227" i="5"/>
  <c r="N226" i="5"/>
  <c r="H225" i="5"/>
  <c r="T223" i="5"/>
  <c r="N222" i="5"/>
  <c r="E221" i="5"/>
  <c r="O219" i="5"/>
  <c r="G218" i="5"/>
  <c r="Q216" i="5"/>
  <c r="I215" i="5"/>
  <c r="S213" i="5"/>
  <c r="K212" i="5"/>
  <c r="U210" i="5"/>
  <c r="M209" i="5"/>
  <c r="E208" i="5"/>
  <c r="O206" i="5"/>
  <c r="E205" i="5"/>
  <c r="O203" i="5"/>
  <c r="G202" i="5"/>
  <c r="Q200" i="5"/>
  <c r="I199" i="5"/>
  <c r="S197" i="5"/>
  <c r="K196" i="5"/>
  <c r="U194" i="5"/>
  <c r="M193" i="5"/>
  <c r="E192" i="5"/>
  <c r="O190" i="5"/>
  <c r="E189" i="5"/>
  <c r="O187" i="5"/>
  <c r="G186" i="5"/>
  <c r="Q184" i="5"/>
  <c r="I183" i="5"/>
  <c r="S181" i="5"/>
  <c r="K180" i="5"/>
  <c r="U178" i="5"/>
  <c r="M177" i="5"/>
  <c r="E176" i="5"/>
  <c r="O174" i="5"/>
  <c r="E173" i="5"/>
  <c r="O171" i="5"/>
  <c r="G170" i="5"/>
  <c r="Q168" i="5"/>
  <c r="I167" i="5"/>
  <c r="S165" i="5"/>
  <c r="J164" i="5"/>
  <c r="Q162" i="5"/>
  <c r="R160" i="5"/>
  <c r="E159" i="5"/>
  <c r="U156" i="5"/>
  <c r="H155" i="5"/>
  <c r="K151" i="5"/>
  <c r="N147" i="5"/>
  <c r="S145" i="5"/>
  <c r="Q143" i="5"/>
  <c r="H139" i="5"/>
  <c r="Q135" i="5"/>
  <c r="U132" i="5"/>
  <c r="H127" i="5"/>
  <c r="H103" i="5"/>
  <c r="I72" i="5"/>
  <c r="H12" i="5"/>
  <c r="M238" i="5"/>
  <c r="G237" i="5"/>
  <c r="S235" i="5"/>
  <c r="M234" i="5"/>
  <c r="G233" i="5"/>
  <c r="S231" i="5"/>
  <c r="M230" i="5"/>
  <c r="G229" i="5"/>
  <c r="S227" i="5"/>
  <c r="M226" i="5"/>
  <c r="G225" i="5"/>
  <c r="S223" i="5"/>
  <c r="L222" i="5"/>
  <c r="V220" i="5"/>
  <c r="N219" i="5"/>
  <c r="F218" i="5"/>
  <c r="P216" i="5"/>
  <c r="H215" i="5"/>
  <c r="R213" i="5"/>
  <c r="J212" i="5"/>
  <c r="T210" i="5"/>
  <c r="L209" i="5"/>
  <c r="V207" i="5"/>
  <c r="N206" i="5"/>
  <c r="V204" i="5"/>
  <c r="N203" i="5"/>
  <c r="F202" i="5"/>
  <c r="P200" i="5"/>
  <c r="H199" i="5"/>
  <c r="R197" i="5"/>
  <c r="J196" i="5"/>
  <c r="T194" i="5"/>
  <c r="L193" i="5"/>
  <c r="V191" i="5"/>
  <c r="N190" i="5"/>
  <c r="V188" i="5"/>
  <c r="N187" i="5"/>
  <c r="F186" i="5"/>
  <c r="P184" i="5"/>
  <c r="H183" i="5"/>
  <c r="R181" i="5"/>
  <c r="J180" i="5"/>
  <c r="T178" i="5"/>
  <c r="L177" i="5"/>
  <c r="V175" i="5"/>
  <c r="N174" i="5"/>
  <c r="V172" i="5"/>
  <c r="N171" i="5"/>
  <c r="F170" i="5"/>
  <c r="P168" i="5"/>
  <c r="H167" i="5"/>
  <c r="R165" i="5"/>
  <c r="I164" i="5"/>
  <c r="P162" i="5"/>
  <c r="Q160" i="5"/>
  <c r="V158" i="5"/>
  <c r="T156" i="5"/>
  <c r="G155" i="5"/>
  <c r="J151" i="5"/>
  <c r="M147" i="5"/>
  <c r="R145" i="5"/>
  <c r="P143" i="5"/>
  <c r="T141" i="5"/>
  <c r="P138" i="5"/>
  <c r="P135" i="5"/>
  <c r="T132" i="5"/>
  <c r="K126" i="5"/>
  <c r="U102" i="5"/>
  <c r="G161" i="5"/>
  <c r="M161" i="5"/>
  <c r="G149" i="5"/>
  <c r="M149" i="5"/>
  <c r="G137" i="5"/>
  <c r="M137" i="5"/>
  <c r="P137" i="5"/>
  <c r="S137" i="5"/>
  <c r="S131" i="5"/>
  <c r="G131" i="5"/>
  <c r="J125" i="5"/>
  <c r="P125" i="5"/>
  <c r="G125" i="5"/>
  <c r="M125" i="5"/>
  <c r="V119" i="5"/>
  <c r="M119" i="5"/>
  <c r="P119" i="5"/>
  <c r="G119" i="5"/>
  <c r="J119" i="5"/>
  <c r="J113" i="5"/>
  <c r="M113" i="5"/>
  <c r="P113" i="5"/>
  <c r="S113" i="5"/>
  <c r="V113" i="5"/>
  <c r="V107" i="5"/>
  <c r="G107" i="5"/>
  <c r="J107" i="5"/>
  <c r="M107" i="5"/>
  <c r="P107" i="5"/>
  <c r="S107" i="5"/>
  <c r="G101" i="5"/>
  <c r="J101" i="5"/>
  <c r="M101" i="5"/>
  <c r="P101" i="5"/>
  <c r="S101" i="5"/>
  <c r="V101" i="5"/>
  <c r="S95" i="5"/>
  <c r="V95" i="5"/>
  <c r="G95" i="5"/>
  <c r="J95" i="5"/>
  <c r="M95" i="5"/>
  <c r="P95" i="5"/>
  <c r="G89" i="5"/>
  <c r="J89" i="5"/>
  <c r="M89" i="5"/>
  <c r="P89" i="5"/>
  <c r="S89" i="5"/>
  <c r="V89" i="5"/>
  <c r="S83" i="5"/>
  <c r="V83" i="5"/>
  <c r="G83" i="5"/>
  <c r="J83" i="5"/>
  <c r="M83" i="5"/>
  <c r="P83" i="5"/>
  <c r="G77" i="5"/>
  <c r="J77" i="5"/>
  <c r="M77" i="5"/>
  <c r="P77" i="5"/>
  <c r="S77" i="5"/>
  <c r="V77" i="5"/>
  <c r="S71" i="5"/>
  <c r="V71" i="5"/>
  <c r="G71" i="5"/>
  <c r="J71" i="5"/>
  <c r="M71" i="5"/>
  <c r="P71" i="5"/>
  <c r="G65" i="5"/>
  <c r="J65" i="5"/>
  <c r="M65" i="5"/>
  <c r="P65" i="5"/>
  <c r="S65" i="5"/>
  <c r="V65" i="5"/>
  <c r="S59" i="5"/>
  <c r="V59" i="5"/>
  <c r="G59" i="5"/>
  <c r="J59" i="5"/>
  <c r="M59" i="5"/>
  <c r="P59" i="5"/>
  <c r="G53" i="5"/>
  <c r="J53" i="5"/>
  <c r="M53" i="5"/>
  <c r="P53" i="5"/>
  <c r="S53" i="5"/>
  <c r="V53" i="5"/>
  <c r="S47" i="5"/>
  <c r="V47" i="5"/>
  <c r="G47" i="5"/>
  <c r="J47" i="5"/>
  <c r="M47" i="5"/>
  <c r="P47" i="5"/>
  <c r="G41" i="5"/>
  <c r="J41" i="5"/>
  <c r="M41" i="5"/>
  <c r="P41" i="5"/>
  <c r="S41" i="5"/>
  <c r="V41" i="5"/>
  <c r="S35" i="5"/>
  <c r="V35" i="5"/>
  <c r="G35" i="5"/>
  <c r="J35" i="5"/>
  <c r="M35" i="5"/>
  <c r="P35" i="5"/>
  <c r="G29" i="5"/>
  <c r="J29" i="5"/>
  <c r="M29" i="5"/>
  <c r="P29" i="5"/>
  <c r="S29" i="5"/>
  <c r="V29" i="5"/>
  <c r="S23" i="5"/>
  <c r="V23" i="5"/>
  <c r="G23" i="5"/>
  <c r="J23" i="5"/>
  <c r="M23" i="5"/>
  <c r="P23" i="5"/>
  <c r="G17" i="5"/>
  <c r="J17" i="5"/>
  <c r="M17" i="5"/>
  <c r="P17" i="5"/>
  <c r="S17" i="5"/>
  <c r="V17" i="5"/>
  <c r="I12" i="5"/>
  <c r="L238" i="5"/>
  <c r="F237" i="5"/>
  <c r="R235" i="5"/>
  <c r="L234" i="5"/>
  <c r="F233" i="5"/>
  <c r="R231" i="5"/>
  <c r="L230" i="5"/>
  <c r="F229" i="5"/>
  <c r="R227" i="5"/>
  <c r="L226" i="5"/>
  <c r="F225" i="5"/>
  <c r="R223" i="5"/>
  <c r="K222" i="5"/>
  <c r="U220" i="5"/>
  <c r="M219" i="5"/>
  <c r="E218" i="5"/>
  <c r="O216" i="5"/>
  <c r="G215" i="5"/>
  <c r="Q213" i="5"/>
  <c r="I212" i="5"/>
  <c r="S210" i="5"/>
  <c r="K209" i="5"/>
  <c r="U207" i="5"/>
  <c r="K206" i="5"/>
  <c r="U204" i="5"/>
  <c r="M203" i="5"/>
  <c r="E202" i="5"/>
  <c r="O200" i="5"/>
  <c r="G199" i="5"/>
  <c r="Q197" i="5"/>
  <c r="I196" i="5"/>
  <c r="S194" i="5"/>
  <c r="K193" i="5"/>
  <c r="U191" i="5"/>
  <c r="K190" i="5"/>
  <c r="U188" i="5"/>
  <c r="M187" i="5"/>
  <c r="E186" i="5"/>
  <c r="O184" i="5"/>
  <c r="G183" i="5"/>
  <c r="Q181" i="5"/>
  <c r="I180" i="5"/>
  <c r="S178" i="5"/>
  <c r="K177" i="5"/>
  <c r="U175" i="5"/>
  <c r="K174" i="5"/>
  <c r="U172" i="5"/>
  <c r="M171" i="5"/>
  <c r="E170" i="5"/>
  <c r="O168" i="5"/>
  <c r="G167" i="5"/>
  <c r="Q165" i="5"/>
  <c r="H164" i="5"/>
  <c r="K162" i="5"/>
  <c r="P160" i="5"/>
  <c r="U158" i="5"/>
  <c r="S156" i="5"/>
  <c r="V152" i="5"/>
  <c r="I151" i="5"/>
  <c r="L147" i="5"/>
  <c r="Q145" i="5"/>
  <c r="S141" i="5"/>
  <c r="K138" i="5"/>
  <c r="O135" i="5"/>
  <c r="S132" i="5"/>
  <c r="J126" i="5"/>
  <c r="V121" i="5"/>
  <c r="F114" i="5"/>
  <c r="F102" i="5"/>
  <c r="F161" i="5"/>
  <c r="I161" i="5"/>
  <c r="L161" i="5"/>
  <c r="R155" i="5"/>
  <c r="U155" i="5"/>
  <c r="F149" i="5"/>
  <c r="I149" i="5"/>
  <c r="L149" i="5"/>
  <c r="R143" i="5"/>
  <c r="U143" i="5"/>
  <c r="F143" i="5"/>
  <c r="F137" i="5"/>
  <c r="I137" i="5"/>
  <c r="L137" i="5"/>
  <c r="O137" i="5"/>
  <c r="R137" i="5"/>
  <c r="R131" i="5"/>
  <c r="U131" i="5"/>
  <c r="F131" i="5"/>
  <c r="F125" i="5"/>
  <c r="I125" i="5"/>
  <c r="L125" i="5"/>
  <c r="O125" i="5"/>
  <c r="R125" i="5"/>
  <c r="R119" i="5"/>
  <c r="U119" i="5"/>
  <c r="F119" i="5"/>
  <c r="I119" i="5"/>
  <c r="F113" i="5"/>
  <c r="I113" i="5"/>
  <c r="R113" i="5"/>
  <c r="R107" i="5"/>
  <c r="U107" i="5"/>
  <c r="F107" i="5"/>
  <c r="O107" i="5"/>
  <c r="I107" i="5"/>
  <c r="L107" i="5"/>
  <c r="F101" i="5"/>
  <c r="I101" i="5"/>
  <c r="L101" i="5"/>
  <c r="R101" i="5"/>
  <c r="O101" i="5"/>
  <c r="R95" i="5"/>
  <c r="U95" i="5"/>
  <c r="F95" i="5"/>
  <c r="O95" i="5"/>
  <c r="F89" i="5"/>
  <c r="I89" i="5"/>
  <c r="L89" i="5"/>
  <c r="R89" i="5"/>
  <c r="O89" i="5"/>
  <c r="U89" i="5"/>
  <c r="R83" i="5"/>
  <c r="U83" i="5"/>
  <c r="F83" i="5"/>
  <c r="I83" i="5"/>
  <c r="L83" i="5"/>
  <c r="O83" i="5"/>
  <c r="F77" i="5"/>
  <c r="I77" i="5"/>
  <c r="L77" i="5"/>
  <c r="R77" i="5"/>
  <c r="U77" i="5"/>
  <c r="O77" i="5"/>
  <c r="R71" i="5"/>
  <c r="U71" i="5"/>
  <c r="F71" i="5"/>
  <c r="I71" i="5"/>
  <c r="L71" i="5"/>
  <c r="O71" i="5"/>
  <c r="F65" i="5"/>
  <c r="I65" i="5"/>
  <c r="L65" i="5"/>
  <c r="R65" i="5"/>
  <c r="U65" i="5"/>
  <c r="O65" i="5"/>
  <c r="R59" i="5"/>
  <c r="U59" i="5"/>
  <c r="F59" i="5"/>
  <c r="I59" i="5"/>
  <c r="L59" i="5"/>
  <c r="O59" i="5"/>
  <c r="F53" i="5"/>
  <c r="I53" i="5"/>
  <c r="L53" i="5"/>
  <c r="R53" i="5"/>
  <c r="U53" i="5"/>
  <c r="O53" i="5"/>
  <c r="R47" i="5"/>
  <c r="U47" i="5"/>
  <c r="F47" i="5"/>
  <c r="I47" i="5"/>
  <c r="L47" i="5"/>
  <c r="O47" i="5"/>
  <c r="F41" i="5"/>
  <c r="I41" i="5"/>
  <c r="L41" i="5"/>
  <c r="R41" i="5"/>
  <c r="U41" i="5"/>
  <c r="R35" i="5"/>
  <c r="U35" i="5"/>
  <c r="F35" i="5"/>
  <c r="I35" i="5"/>
  <c r="L35" i="5"/>
  <c r="O35" i="5"/>
  <c r="F29" i="5"/>
  <c r="I29" i="5"/>
  <c r="L29" i="5"/>
  <c r="O29" i="5"/>
  <c r="R29" i="5"/>
  <c r="U29" i="5"/>
  <c r="R23" i="5"/>
  <c r="U23" i="5"/>
  <c r="F23" i="5"/>
  <c r="I23" i="5"/>
  <c r="L23" i="5"/>
  <c r="O23" i="5"/>
  <c r="F17" i="5"/>
  <c r="I17" i="5"/>
  <c r="L17" i="5"/>
  <c r="O17" i="5"/>
  <c r="R17" i="5"/>
  <c r="U17" i="5"/>
  <c r="J12" i="5"/>
  <c r="K238" i="5"/>
  <c r="E237" i="5"/>
  <c r="Q235" i="5"/>
  <c r="K234" i="5"/>
  <c r="E233" i="5"/>
  <c r="Q231" i="5"/>
  <c r="K230" i="5"/>
  <c r="E229" i="5"/>
  <c r="Q227" i="5"/>
  <c r="K226" i="5"/>
  <c r="E225" i="5"/>
  <c r="Q223" i="5"/>
  <c r="J222" i="5"/>
  <c r="T220" i="5"/>
  <c r="L219" i="5"/>
  <c r="V217" i="5"/>
  <c r="N216" i="5"/>
  <c r="F215" i="5"/>
  <c r="P213" i="5"/>
  <c r="H212" i="5"/>
  <c r="R210" i="5"/>
  <c r="J209" i="5"/>
  <c r="T207" i="5"/>
  <c r="J206" i="5"/>
  <c r="T204" i="5"/>
  <c r="L203" i="5"/>
  <c r="V201" i="5"/>
  <c r="N200" i="5"/>
  <c r="F199" i="5"/>
  <c r="P197" i="5"/>
  <c r="H196" i="5"/>
  <c r="R194" i="5"/>
  <c r="J193" i="5"/>
  <c r="T191" i="5"/>
  <c r="J190" i="5"/>
  <c r="T188" i="5"/>
  <c r="L187" i="5"/>
  <c r="V185" i="5"/>
  <c r="N184" i="5"/>
  <c r="F183" i="5"/>
  <c r="P181" i="5"/>
  <c r="H180" i="5"/>
  <c r="R178" i="5"/>
  <c r="J177" i="5"/>
  <c r="T175" i="5"/>
  <c r="J174" i="5"/>
  <c r="T172" i="5"/>
  <c r="L171" i="5"/>
  <c r="V169" i="5"/>
  <c r="N168" i="5"/>
  <c r="F167" i="5"/>
  <c r="P165" i="5"/>
  <c r="F164" i="5"/>
  <c r="J162" i="5"/>
  <c r="O160" i="5"/>
  <c r="T158" i="5"/>
  <c r="R156" i="5"/>
  <c r="E155" i="5"/>
  <c r="U152" i="5"/>
  <c r="H151" i="5"/>
  <c r="J149" i="5"/>
  <c r="K147" i="5"/>
  <c r="P145" i="5"/>
  <c r="N143" i="5"/>
  <c r="J138" i="5"/>
  <c r="N135" i="5"/>
  <c r="R132" i="5"/>
  <c r="I126" i="5"/>
  <c r="U121" i="5"/>
  <c r="U113" i="5"/>
  <c r="U101" i="5"/>
  <c r="H161" i="5"/>
  <c r="K161" i="5"/>
  <c r="H149" i="5"/>
  <c r="K149" i="5"/>
  <c r="H137" i="5"/>
  <c r="K137" i="5"/>
  <c r="N137" i="5"/>
  <c r="Q137" i="5"/>
  <c r="T131" i="5"/>
  <c r="E131" i="5"/>
  <c r="K125" i="5"/>
  <c r="Q125" i="5"/>
  <c r="E125" i="5"/>
  <c r="H125" i="5"/>
  <c r="N125" i="5"/>
  <c r="Q119" i="5"/>
  <c r="E119" i="5"/>
  <c r="H119" i="5"/>
  <c r="E113" i="5"/>
  <c r="K113" i="5"/>
  <c r="N113" i="5"/>
  <c r="Q113" i="5"/>
  <c r="Q107" i="5"/>
  <c r="E107" i="5"/>
  <c r="K107" i="5"/>
  <c r="N107" i="5"/>
  <c r="H107" i="5"/>
  <c r="E101" i="5"/>
  <c r="H101" i="5"/>
  <c r="K101" i="5"/>
  <c r="N101" i="5"/>
  <c r="Q101" i="5"/>
  <c r="Q95" i="5"/>
  <c r="T95" i="5"/>
  <c r="E95" i="5"/>
  <c r="K95" i="5"/>
  <c r="N95" i="5"/>
  <c r="E89" i="5"/>
  <c r="H89" i="5"/>
  <c r="K89" i="5"/>
  <c r="N89" i="5"/>
  <c r="Q89" i="5"/>
  <c r="T89" i="5"/>
  <c r="Q83" i="5"/>
  <c r="T83" i="5"/>
  <c r="E83" i="5"/>
  <c r="K83" i="5"/>
  <c r="N83" i="5"/>
  <c r="H83" i="5"/>
  <c r="E77" i="5"/>
  <c r="H77" i="5"/>
  <c r="K77" i="5"/>
  <c r="N77" i="5"/>
  <c r="Q77" i="5"/>
  <c r="T77" i="5"/>
  <c r="Q71" i="5"/>
  <c r="T71" i="5"/>
  <c r="E71" i="5"/>
  <c r="K71" i="5"/>
  <c r="N71" i="5"/>
  <c r="E65" i="5"/>
  <c r="H65" i="5"/>
  <c r="K65" i="5"/>
  <c r="N65" i="5"/>
  <c r="Q65" i="5"/>
  <c r="T65" i="5"/>
  <c r="Q59" i="5"/>
  <c r="T59" i="5"/>
  <c r="E59" i="5"/>
  <c r="K59" i="5"/>
  <c r="N59" i="5"/>
  <c r="H59" i="5"/>
  <c r="E53" i="5"/>
  <c r="H53" i="5"/>
  <c r="K53" i="5"/>
  <c r="N53" i="5"/>
  <c r="Q53" i="5"/>
  <c r="Q47" i="5"/>
  <c r="T47" i="5"/>
  <c r="E47" i="5"/>
  <c r="K47" i="5"/>
  <c r="N47" i="5"/>
  <c r="H47" i="5"/>
  <c r="E41" i="5"/>
  <c r="H41" i="5"/>
  <c r="K41" i="5"/>
  <c r="N41" i="5"/>
  <c r="Q41" i="5"/>
  <c r="Q35" i="5"/>
  <c r="T35" i="5"/>
  <c r="E35" i="5"/>
  <c r="K35" i="5"/>
  <c r="N35" i="5"/>
  <c r="H35" i="5"/>
  <c r="E29" i="5"/>
  <c r="H29" i="5"/>
  <c r="K29" i="5"/>
  <c r="N29" i="5"/>
  <c r="Q29" i="5"/>
  <c r="T29" i="5"/>
  <c r="Q23" i="5"/>
  <c r="T23" i="5"/>
  <c r="E23" i="5"/>
  <c r="K23" i="5"/>
  <c r="N23" i="5"/>
  <c r="H23" i="5"/>
  <c r="E17" i="5"/>
  <c r="H17" i="5"/>
  <c r="K17" i="5"/>
  <c r="N17" i="5"/>
  <c r="Q17" i="5"/>
  <c r="T17" i="5"/>
  <c r="K12" i="5"/>
  <c r="J238" i="5"/>
  <c r="V236" i="5"/>
  <c r="P235" i="5"/>
  <c r="J234" i="5"/>
  <c r="V232" i="5"/>
  <c r="P231" i="5"/>
  <c r="J230" i="5"/>
  <c r="V228" i="5"/>
  <c r="P227" i="5"/>
  <c r="J226" i="5"/>
  <c r="V224" i="5"/>
  <c r="P223" i="5"/>
  <c r="I222" i="5"/>
  <c r="S220" i="5"/>
  <c r="K219" i="5"/>
  <c r="U217" i="5"/>
  <c r="M216" i="5"/>
  <c r="E215" i="5"/>
  <c r="O213" i="5"/>
  <c r="G212" i="5"/>
  <c r="Q210" i="5"/>
  <c r="I209" i="5"/>
  <c r="Q207" i="5"/>
  <c r="I206" i="5"/>
  <c r="S204" i="5"/>
  <c r="K203" i="5"/>
  <c r="U201" i="5"/>
  <c r="M200" i="5"/>
  <c r="E199" i="5"/>
  <c r="O197" i="5"/>
  <c r="G196" i="5"/>
  <c r="Q194" i="5"/>
  <c r="I193" i="5"/>
  <c r="Q191" i="5"/>
  <c r="I190" i="5"/>
  <c r="S188" i="5"/>
  <c r="K187" i="5"/>
  <c r="U185" i="5"/>
  <c r="M184" i="5"/>
  <c r="E183" i="5"/>
  <c r="O181" i="5"/>
  <c r="G180" i="5"/>
  <c r="Q178" i="5"/>
  <c r="I177" i="5"/>
  <c r="Q175" i="5"/>
  <c r="I174" i="5"/>
  <c r="S172" i="5"/>
  <c r="K171" i="5"/>
  <c r="U169" i="5"/>
  <c r="M168" i="5"/>
  <c r="E167" i="5"/>
  <c r="O165" i="5"/>
  <c r="E164" i="5"/>
  <c r="I162" i="5"/>
  <c r="N160" i="5"/>
  <c r="P158" i="5"/>
  <c r="Q156" i="5"/>
  <c r="T152" i="5"/>
  <c r="G151" i="5"/>
  <c r="E149" i="5"/>
  <c r="J147" i="5"/>
  <c r="O145" i="5"/>
  <c r="M143" i="5"/>
  <c r="I138" i="5"/>
  <c r="M135" i="5"/>
  <c r="Q132" i="5"/>
  <c r="T129" i="5"/>
  <c r="H126" i="5"/>
  <c r="T121" i="5"/>
  <c r="T113" i="5"/>
  <c r="T101" i="5"/>
  <c r="L12" i="5"/>
  <c r="I238" i="5"/>
  <c r="U236" i="5"/>
  <c r="O235" i="5"/>
  <c r="I234" i="5"/>
  <c r="U232" i="5"/>
  <c r="O231" i="5"/>
  <c r="I230" i="5"/>
  <c r="U228" i="5"/>
  <c r="O227" i="5"/>
  <c r="I226" i="5"/>
  <c r="U224" i="5"/>
  <c r="O223" i="5"/>
  <c r="H222" i="5"/>
  <c r="R220" i="5"/>
  <c r="J219" i="5"/>
  <c r="T217" i="5"/>
  <c r="L216" i="5"/>
  <c r="V214" i="5"/>
  <c r="N213" i="5"/>
  <c r="F212" i="5"/>
  <c r="P210" i="5"/>
  <c r="H209" i="5"/>
  <c r="P207" i="5"/>
  <c r="H206" i="5"/>
  <c r="R204" i="5"/>
  <c r="J203" i="5"/>
  <c r="T201" i="5"/>
  <c r="L200" i="5"/>
  <c r="V198" i="5"/>
  <c r="N197" i="5"/>
  <c r="F196" i="5"/>
  <c r="P194" i="5"/>
  <c r="H193" i="5"/>
  <c r="P191" i="5"/>
  <c r="H190" i="5"/>
  <c r="R188" i="5"/>
  <c r="J187" i="5"/>
  <c r="T185" i="5"/>
  <c r="L184" i="5"/>
  <c r="V182" i="5"/>
  <c r="N181" i="5"/>
  <c r="F180" i="5"/>
  <c r="P178" i="5"/>
  <c r="H177" i="5"/>
  <c r="P175" i="5"/>
  <c r="H174" i="5"/>
  <c r="R172" i="5"/>
  <c r="J171" i="5"/>
  <c r="T169" i="5"/>
  <c r="L168" i="5"/>
  <c r="V166" i="5"/>
  <c r="N165" i="5"/>
  <c r="V163" i="5"/>
  <c r="H162" i="5"/>
  <c r="M160" i="5"/>
  <c r="K158" i="5"/>
  <c r="P156" i="5"/>
  <c r="S152" i="5"/>
  <c r="F151" i="5"/>
  <c r="V148" i="5"/>
  <c r="I147" i="5"/>
  <c r="N145" i="5"/>
  <c r="L143" i="5"/>
  <c r="V140" i="5"/>
  <c r="H138" i="5"/>
  <c r="L135" i="5"/>
  <c r="P132" i="5"/>
  <c r="F126" i="5"/>
  <c r="O113" i="5"/>
  <c r="N96" i="5"/>
  <c r="M154" i="5"/>
  <c r="S154" i="5"/>
  <c r="M142" i="5"/>
  <c r="S142" i="5"/>
  <c r="G136" i="5"/>
  <c r="J136" i="5"/>
  <c r="M136" i="5"/>
  <c r="M130" i="5"/>
  <c r="P130" i="5"/>
  <c r="S130" i="5"/>
  <c r="V130" i="5"/>
  <c r="J124" i="5"/>
  <c r="S124" i="5"/>
  <c r="P124" i="5"/>
  <c r="V124" i="5"/>
  <c r="P118" i="5"/>
  <c r="V118" i="5"/>
  <c r="G118" i="5"/>
  <c r="J118" i="5"/>
  <c r="M118" i="5"/>
  <c r="S118" i="5"/>
  <c r="G112" i="5"/>
  <c r="J112" i="5"/>
  <c r="M112" i="5"/>
  <c r="P112" i="5"/>
  <c r="S112" i="5"/>
  <c r="V112" i="5"/>
  <c r="P106" i="5"/>
  <c r="S106" i="5"/>
  <c r="V106" i="5"/>
  <c r="G106" i="5"/>
  <c r="J106" i="5"/>
  <c r="M106" i="5"/>
  <c r="G100" i="5"/>
  <c r="J100" i="5"/>
  <c r="M100" i="5"/>
  <c r="P100" i="5"/>
  <c r="S100" i="5"/>
  <c r="V100" i="5"/>
  <c r="M94" i="5"/>
  <c r="P94" i="5"/>
  <c r="S94" i="5"/>
  <c r="V94" i="5"/>
  <c r="G94" i="5"/>
  <c r="J94" i="5"/>
  <c r="G88" i="5"/>
  <c r="J88" i="5"/>
  <c r="M88" i="5"/>
  <c r="P88" i="5"/>
  <c r="S88" i="5"/>
  <c r="V88" i="5"/>
  <c r="M82" i="5"/>
  <c r="P82" i="5"/>
  <c r="S82" i="5"/>
  <c r="V82" i="5"/>
  <c r="G82" i="5"/>
  <c r="J82" i="5"/>
  <c r="G76" i="5"/>
  <c r="J76" i="5"/>
  <c r="M76" i="5"/>
  <c r="P76" i="5"/>
  <c r="S76" i="5"/>
  <c r="V76" i="5"/>
  <c r="M70" i="5"/>
  <c r="P70" i="5"/>
  <c r="S70" i="5"/>
  <c r="V70" i="5"/>
  <c r="G70" i="5"/>
  <c r="J70" i="5"/>
  <c r="G64" i="5"/>
  <c r="J64" i="5"/>
  <c r="M64" i="5"/>
  <c r="P64" i="5"/>
  <c r="S64" i="5"/>
  <c r="V64" i="5"/>
  <c r="M58" i="5"/>
  <c r="P58" i="5"/>
  <c r="S58" i="5"/>
  <c r="V58" i="5"/>
  <c r="G58" i="5"/>
  <c r="J58" i="5"/>
  <c r="G52" i="5"/>
  <c r="J52" i="5"/>
  <c r="M52" i="5"/>
  <c r="P52" i="5"/>
  <c r="S52" i="5"/>
  <c r="V52" i="5"/>
  <c r="M46" i="5"/>
  <c r="P46" i="5"/>
  <c r="S46" i="5"/>
  <c r="V46" i="5"/>
  <c r="G46" i="5"/>
  <c r="J46" i="5"/>
  <c r="G40" i="5"/>
  <c r="J40" i="5"/>
  <c r="M40" i="5"/>
  <c r="P40" i="5"/>
  <c r="S40" i="5"/>
  <c r="V40" i="5"/>
  <c r="M34" i="5"/>
  <c r="P34" i="5"/>
  <c r="S34" i="5"/>
  <c r="V34" i="5"/>
  <c r="G34" i="5"/>
  <c r="J34" i="5"/>
  <c r="G28" i="5"/>
  <c r="J28" i="5"/>
  <c r="M28" i="5"/>
  <c r="P28" i="5"/>
  <c r="S28" i="5"/>
  <c r="V28" i="5"/>
  <c r="M22" i="5"/>
  <c r="P22" i="5"/>
  <c r="S22" i="5"/>
  <c r="V22" i="5"/>
  <c r="G22" i="5"/>
  <c r="J22" i="5"/>
  <c r="G16" i="5"/>
  <c r="J16" i="5"/>
  <c r="M16" i="5"/>
  <c r="P16" i="5"/>
  <c r="S16" i="5"/>
  <c r="V16" i="5"/>
  <c r="M12" i="5"/>
  <c r="H238" i="5"/>
  <c r="T236" i="5"/>
  <c r="N235" i="5"/>
  <c r="H234" i="5"/>
  <c r="T232" i="5"/>
  <c r="N231" i="5"/>
  <c r="H230" i="5"/>
  <c r="T228" i="5"/>
  <c r="N227" i="5"/>
  <c r="H226" i="5"/>
  <c r="T224" i="5"/>
  <c r="N223" i="5"/>
  <c r="G222" i="5"/>
  <c r="Q220" i="5"/>
  <c r="I219" i="5"/>
  <c r="S217" i="5"/>
  <c r="K216" i="5"/>
  <c r="U214" i="5"/>
  <c r="M213" i="5"/>
  <c r="E212" i="5"/>
  <c r="O210" i="5"/>
  <c r="E209" i="5"/>
  <c r="O207" i="5"/>
  <c r="G206" i="5"/>
  <c r="Q204" i="5"/>
  <c r="I203" i="5"/>
  <c r="S201" i="5"/>
  <c r="K200" i="5"/>
  <c r="U198" i="5"/>
  <c r="M197" i="5"/>
  <c r="E196" i="5"/>
  <c r="O194" i="5"/>
  <c r="E193" i="5"/>
  <c r="O191" i="5"/>
  <c r="G190" i="5"/>
  <c r="Q188" i="5"/>
  <c r="I187" i="5"/>
  <c r="S185" i="5"/>
  <c r="K184" i="5"/>
  <c r="U182" i="5"/>
  <c r="M181" i="5"/>
  <c r="E180" i="5"/>
  <c r="O178" i="5"/>
  <c r="E177" i="5"/>
  <c r="O175" i="5"/>
  <c r="G174" i="5"/>
  <c r="Q172" i="5"/>
  <c r="I171" i="5"/>
  <c r="S169" i="5"/>
  <c r="K168" i="5"/>
  <c r="U166" i="5"/>
  <c r="L165" i="5"/>
  <c r="U163" i="5"/>
  <c r="G162" i="5"/>
  <c r="L160" i="5"/>
  <c r="J158" i="5"/>
  <c r="O156" i="5"/>
  <c r="R152" i="5"/>
  <c r="E151" i="5"/>
  <c r="U148" i="5"/>
  <c r="H147" i="5"/>
  <c r="K143" i="5"/>
  <c r="U140" i="5"/>
  <c r="G138" i="5"/>
  <c r="K135" i="5"/>
  <c r="O132" i="5"/>
  <c r="V128" i="5"/>
  <c r="E126" i="5"/>
  <c r="O121" i="5"/>
  <c r="L113" i="5"/>
  <c r="I96" i="5"/>
  <c r="L154" i="5"/>
  <c r="O154" i="5"/>
  <c r="R154" i="5"/>
  <c r="L142" i="5"/>
  <c r="O142" i="5"/>
  <c r="R142" i="5"/>
  <c r="F136" i="5"/>
  <c r="I136" i="5"/>
  <c r="L136" i="5"/>
  <c r="L130" i="5"/>
  <c r="O130" i="5"/>
  <c r="R130" i="5"/>
  <c r="U130" i="5"/>
  <c r="L124" i="5"/>
  <c r="R124" i="5"/>
  <c r="U124" i="5"/>
  <c r="L118" i="5"/>
  <c r="O118" i="5"/>
  <c r="F118" i="5"/>
  <c r="I118" i="5"/>
  <c r="R118" i="5"/>
  <c r="U118" i="5"/>
  <c r="L112" i="5"/>
  <c r="U112" i="5"/>
  <c r="F112" i="5"/>
  <c r="I112" i="5"/>
  <c r="L106" i="5"/>
  <c r="O106" i="5"/>
  <c r="R106" i="5"/>
  <c r="I106" i="5"/>
  <c r="F106" i="5"/>
  <c r="U106" i="5"/>
  <c r="F100" i="5"/>
  <c r="L100" i="5"/>
  <c r="U100" i="5"/>
  <c r="I100" i="5"/>
  <c r="O100" i="5"/>
  <c r="R100" i="5"/>
  <c r="L94" i="5"/>
  <c r="O94" i="5"/>
  <c r="R94" i="5"/>
  <c r="I94" i="5"/>
  <c r="F88" i="5"/>
  <c r="L88" i="5"/>
  <c r="O88" i="5"/>
  <c r="U88" i="5"/>
  <c r="R88" i="5"/>
  <c r="L82" i="5"/>
  <c r="O82" i="5"/>
  <c r="R82" i="5"/>
  <c r="F82" i="5"/>
  <c r="I82" i="5"/>
  <c r="U82" i="5"/>
  <c r="F76" i="5"/>
  <c r="L76" i="5"/>
  <c r="O76" i="5"/>
  <c r="R76" i="5"/>
  <c r="U76" i="5"/>
  <c r="I76" i="5"/>
  <c r="L70" i="5"/>
  <c r="O70" i="5"/>
  <c r="R70" i="5"/>
  <c r="F70" i="5"/>
  <c r="I70" i="5"/>
  <c r="F64" i="5"/>
  <c r="L64" i="5"/>
  <c r="O64" i="5"/>
  <c r="R64" i="5"/>
  <c r="U64" i="5"/>
  <c r="I64" i="5"/>
  <c r="L58" i="5"/>
  <c r="O58" i="5"/>
  <c r="R58" i="5"/>
  <c r="F58" i="5"/>
  <c r="I58" i="5"/>
  <c r="U58" i="5"/>
  <c r="F52" i="5"/>
  <c r="L52" i="5"/>
  <c r="O52" i="5"/>
  <c r="R52" i="5"/>
  <c r="U52" i="5"/>
  <c r="I52" i="5"/>
  <c r="L46" i="5"/>
  <c r="O46" i="5"/>
  <c r="R46" i="5"/>
  <c r="F46" i="5"/>
  <c r="I46" i="5"/>
  <c r="U46" i="5"/>
  <c r="F40" i="5"/>
  <c r="L40" i="5"/>
  <c r="O40" i="5"/>
  <c r="R40" i="5"/>
  <c r="U40" i="5"/>
  <c r="L34" i="5"/>
  <c r="O34" i="5"/>
  <c r="R34" i="5"/>
  <c r="U34" i="5"/>
  <c r="F34" i="5"/>
  <c r="I34" i="5"/>
  <c r="F28" i="5"/>
  <c r="I28" i="5"/>
  <c r="L28" i="5"/>
  <c r="O28" i="5"/>
  <c r="R28" i="5"/>
  <c r="U28" i="5"/>
  <c r="L22" i="5"/>
  <c r="O22" i="5"/>
  <c r="R22" i="5"/>
  <c r="U22" i="5"/>
  <c r="F22" i="5"/>
  <c r="I22" i="5"/>
  <c r="F16" i="5"/>
  <c r="I16" i="5"/>
  <c r="L16" i="5"/>
  <c r="O16" i="5"/>
  <c r="R16" i="5"/>
  <c r="U16" i="5"/>
  <c r="N12" i="5"/>
  <c r="G238" i="5"/>
  <c r="S236" i="5"/>
  <c r="M235" i="5"/>
  <c r="G234" i="5"/>
  <c r="S232" i="5"/>
  <c r="M231" i="5"/>
  <c r="G230" i="5"/>
  <c r="S228" i="5"/>
  <c r="M227" i="5"/>
  <c r="G226" i="5"/>
  <c r="S224" i="5"/>
  <c r="M223" i="5"/>
  <c r="F222" i="5"/>
  <c r="P220" i="5"/>
  <c r="H219" i="5"/>
  <c r="R217" i="5"/>
  <c r="J216" i="5"/>
  <c r="T214" i="5"/>
  <c r="L213" i="5"/>
  <c r="V211" i="5"/>
  <c r="N210" i="5"/>
  <c r="V208" i="5"/>
  <c r="N207" i="5"/>
  <c r="F206" i="5"/>
  <c r="P204" i="5"/>
  <c r="H203" i="5"/>
  <c r="R201" i="5"/>
  <c r="J200" i="5"/>
  <c r="T198" i="5"/>
  <c r="L197" i="5"/>
  <c r="V195" i="5"/>
  <c r="N194" i="5"/>
  <c r="V192" i="5"/>
  <c r="N191" i="5"/>
  <c r="F190" i="5"/>
  <c r="P188" i="5"/>
  <c r="H187" i="5"/>
  <c r="R185" i="5"/>
  <c r="J184" i="5"/>
  <c r="T182" i="5"/>
  <c r="L181" i="5"/>
  <c r="V179" i="5"/>
  <c r="N178" i="5"/>
  <c r="V176" i="5"/>
  <c r="N175" i="5"/>
  <c r="F174" i="5"/>
  <c r="P172" i="5"/>
  <c r="H171" i="5"/>
  <c r="R169" i="5"/>
  <c r="J168" i="5"/>
  <c r="T166" i="5"/>
  <c r="K165" i="5"/>
  <c r="T163" i="5"/>
  <c r="F162" i="5"/>
  <c r="K160" i="5"/>
  <c r="I158" i="5"/>
  <c r="N156" i="5"/>
  <c r="P154" i="5"/>
  <c r="Q152" i="5"/>
  <c r="V150" i="5"/>
  <c r="T148" i="5"/>
  <c r="G147" i="5"/>
  <c r="E145" i="5"/>
  <c r="J143" i="5"/>
  <c r="T140" i="5"/>
  <c r="F138" i="5"/>
  <c r="N132" i="5"/>
  <c r="U128" i="5"/>
  <c r="V125" i="5"/>
  <c r="I120" i="5"/>
  <c r="H113" i="5"/>
  <c r="L95" i="5"/>
  <c r="N154" i="5"/>
  <c r="Q154" i="5"/>
  <c r="N142" i="5"/>
  <c r="Q142" i="5"/>
  <c r="E136" i="5"/>
  <c r="H136" i="5"/>
  <c r="K136" i="5"/>
  <c r="N130" i="5"/>
  <c r="Q130" i="5"/>
  <c r="T130" i="5"/>
  <c r="E124" i="5"/>
  <c r="K124" i="5"/>
  <c r="Q124" i="5"/>
  <c r="T124" i="5"/>
  <c r="K118" i="5"/>
  <c r="Q118" i="5"/>
  <c r="E118" i="5"/>
  <c r="H118" i="5"/>
  <c r="N118" i="5"/>
  <c r="T118" i="5"/>
  <c r="E112" i="5"/>
  <c r="H112" i="5"/>
  <c r="K112" i="5"/>
  <c r="Q112" i="5"/>
  <c r="T112" i="5"/>
  <c r="N112" i="5"/>
  <c r="K106" i="5"/>
  <c r="Q106" i="5"/>
  <c r="T106" i="5"/>
  <c r="E106" i="5"/>
  <c r="H106" i="5"/>
  <c r="N106" i="5"/>
  <c r="E100" i="5"/>
  <c r="H100" i="5"/>
  <c r="K100" i="5"/>
  <c r="Q100" i="5"/>
  <c r="T100" i="5"/>
  <c r="N100" i="5"/>
  <c r="K94" i="5"/>
  <c r="N94" i="5"/>
  <c r="Q94" i="5"/>
  <c r="T94" i="5"/>
  <c r="E94" i="5"/>
  <c r="H94" i="5"/>
  <c r="E88" i="5"/>
  <c r="H88" i="5"/>
  <c r="K88" i="5"/>
  <c r="Q88" i="5"/>
  <c r="T88" i="5"/>
  <c r="N88" i="5"/>
  <c r="K82" i="5"/>
  <c r="N82" i="5"/>
  <c r="Q82" i="5"/>
  <c r="T82" i="5"/>
  <c r="E82" i="5"/>
  <c r="H82" i="5"/>
  <c r="E76" i="5"/>
  <c r="H76" i="5"/>
  <c r="K76" i="5"/>
  <c r="Q76" i="5"/>
  <c r="T76" i="5"/>
  <c r="N76" i="5"/>
  <c r="K70" i="5"/>
  <c r="N70" i="5"/>
  <c r="Q70" i="5"/>
  <c r="T70" i="5"/>
  <c r="E70" i="5"/>
  <c r="H70" i="5"/>
  <c r="E64" i="5"/>
  <c r="H64" i="5"/>
  <c r="K64" i="5"/>
  <c r="Q64" i="5"/>
  <c r="T64" i="5"/>
  <c r="N64" i="5"/>
  <c r="K58" i="5"/>
  <c r="N58" i="5"/>
  <c r="Q58" i="5"/>
  <c r="T58" i="5"/>
  <c r="E58" i="5"/>
  <c r="H58" i="5"/>
  <c r="E52" i="5"/>
  <c r="H52" i="5"/>
  <c r="K52" i="5"/>
  <c r="Q52" i="5"/>
  <c r="T52" i="5"/>
  <c r="N52" i="5"/>
  <c r="K46" i="5"/>
  <c r="N46" i="5"/>
  <c r="Q46" i="5"/>
  <c r="T46" i="5"/>
  <c r="E46" i="5"/>
  <c r="H46" i="5"/>
  <c r="E40" i="5"/>
  <c r="H40" i="5"/>
  <c r="K40" i="5"/>
  <c r="Q40" i="5"/>
  <c r="T40" i="5"/>
  <c r="K34" i="5"/>
  <c r="N34" i="5"/>
  <c r="Q34" i="5"/>
  <c r="T34" i="5"/>
  <c r="E34" i="5"/>
  <c r="H34" i="5"/>
  <c r="E28" i="5"/>
  <c r="H28" i="5"/>
  <c r="K28" i="5"/>
  <c r="Q28" i="5"/>
  <c r="T28" i="5"/>
  <c r="N28" i="5"/>
  <c r="K22" i="5"/>
  <c r="N22" i="5"/>
  <c r="Q22" i="5"/>
  <c r="T22" i="5"/>
  <c r="E22" i="5"/>
  <c r="H22" i="5"/>
  <c r="E16" i="5"/>
  <c r="H16" i="5"/>
  <c r="K16" i="5"/>
  <c r="Q16" i="5"/>
  <c r="T16" i="5"/>
  <c r="N16" i="5"/>
  <c r="O12" i="5"/>
  <c r="F238" i="5"/>
  <c r="R236" i="5"/>
  <c r="L235" i="5"/>
  <c r="F234" i="5"/>
  <c r="R232" i="5"/>
  <c r="L231" i="5"/>
  <c r="F230" i="5"/>
  <c r="R228" i="5"/>
  <c r="L227" i="5"/>
  <c r="F226" i="5"/>
  <c r="R224" i="5"/>
  <c r="L223" i="5"/>
  <c r="E222" i="5"/>
  <c r="O220" i="5"/>
  <c r="G219" i="5"/>
  <c r="Q217" i="5"/>
  <c r="I216" i="5"/>
  <c r="S214" i="5"/>
  <c r="K213" i="5"/>
  <c r="U211" i="5"/>
  <c r="K210" i="5"/>
  <c r="U208" i="5"/>
  <c r="M207" i="5"/>
  <c r="O204" i="5"/>
  <c r="G203" i="5"/>
  <c r="Q201" i="5"/>
  <c r="I200" i="5"/>
  <c r="S198" i="5"/>
  <c r="K197" i="5"/>
  <c r="U195" i="5"/>
  <c r="K194" i="5"/>
  <c r="U192" i="5"/>
  <c r="M191" i="5"/>
  <c r="O188" i="5"/>
  <c r="G187" i="5"/>
  <c r="Q185" i="5"/>
  <c r="I184" i="5"/>
  <c r="S182" i="5"/>
  <c r="K181" i="5"/>
  <c r="U179" i="5"/>
  <c r="K178" i="5"/>
  <c r="U176" i="5"/>
  <c r="M175" i="5"/>
  <c r="O172" i="5"/>
  <c r="G171" i="5"/>
  <c r="Q169" i="5"/>
  <c r="I168" i="5"/>
  <c r="S166" i="5"/>
  <c r="Q163" i="5"/>
  <c r="E162" i="5"/>
  <c r="J160" i="5"/>
  <c r="H158" i="5"/>
  <c r="M156" i="5"/>
  <c r="K154" i="5"/>
  <c r="P152" i="5"/>
  <c r="U150" i="5"/>
  <c r="S148" i="5"/>
  <c r="V144" i="5"/>
  <c r="I143" i="5"/>
  <c r="S140" i="5"/>
  <c r="E138" i="5"/>
  <c r="V131" i="5"/>
  <c r="T128" i="5"/>
  <c r="U125" i="5"/>
  <c r="H120" i="5"/>
  <c r="G113" i="5"/>
  <c r="I95" i="5"/>
  <c r="P12" i="5"/>
  <c r="E238" i="5"/>
  <c r="Q236" i="5"/>
  <c r="K235" i="5"/>
  <c r="E234" i="5"/>
  <c r="Q232" i="5"/>
  <c r="K231" i="5"/>
  <c r="E230" i="5"/>
  <c r="Q228" i="5"/>
  <c r="K227" i="5"/>
  <c r="E226" i="5"/>
  <c r="Q224" i="5"/>
  <c r="K223" i="5"/>
  <c r="V221" i="5"/>
  <c r="N220" i="5"/>
  <c r="F219" i="5"/>
  <c r="P217" i="5"/>
  <c r="H216" i="5"/>
  <c r="R214" i="5"/>
  <c r="J213" i="5"/>
  <c r="T211" i="5"/>
  <c r="J210" i="5"/>
  <c r="T208" i="5"/>
  <c r="L207" i="5"/>
  <c r="V205" i="5"/>
  <c r="N204" i="5"/>
  <c r="F203" i="5"/>
  <c r="P201" i="5"/>
  <c r="H200" i="5"/>
  <c r="R198" i="5"/>
  <c r="J197" i="5"/>
  <c r="T195" i="5"/>
  <c r="J194" i="5"/>
  <c r="T192" i="5"/>
  <c r="L191" i="5"/>
  <c r="V189" i="5"/>
  <c r="N188" i="5"/>
  <c r="F187" i="5"/>
  <c r="P185" i="5"/>
  <c r="H184" i="5"/>
  <c r="R182" i="5"/>
  <c r="J181" i="5"/>
  <c r="T179" i="5"/>
  <c r="J178" i="5"/>
  <c r="T176" i="5"/>
  <c r="L175" i="5"/>
  <c r="V173" i="5"/>
  <c r="N172" i="5"/>
  <c r="F171" i="5"/>
  <c r="P169" i="5"/>
  <c r="H168" i="5"/>
  <c r="R166" i="5"/>
  <c r="I165" i="5"/>
  <c r="P163" i="5"/>
  <c r="V161" i="5"/>
  <c r="I160" i="5"/>
  <c r="L156" i="5"/>
  <c r="J154" i="5"/>
  <c r="O152" i="5"/>
  <c r="T150" i="5"/>
  <c r="R148" i="5"/>
  <c r="E147" i="5"/>
  <c r="U144" i="5"/>
  <c r="H143" i="5"/>
  <c r="R140" i="5"/>
  <c r="V137" i="5"/>
  <c r="Q131" i="5"/>
  <c r="S128" i="5"/>
  <c r="T125" i="5"/>
  <c r="G120" i="5"/>
  <c r="R112" i="5"/>
  <c r="H95" i="5"/>
  <c r="H55" i="5"/>
  <c r="G165" i="5"/>
  <c r="M165" i="5"/>
  <c r="G153" i="5"/>
  <c r="M153" i="5"/>
  <c r="G141" i="5"/>
  <c r="M141" i="5"/>
  <c r="P141" i="5"/>
  <c r="S135" i="5"/>
  <c r="G135" i="5"/>
  <c r="G129" i="5"/>
  <c r="J129" i="5"/>
  <c r="M129" i="5"/>
  <c r="P129" i="5"/>
  <c r="S129" i="5"/>
  <c r="V123" i="5"/>
  <c r="M123" i="5"/>
  <c r="P123" i="5"/>
  <c r="G123" i="5"/>
  <c r="J123" i="5"/>
  <c r="J117" i="5"/>
  <c r="M117" i="5"/>
  <c r="P117" i="5"/>
  <c r="S117" i="5"/>
  <c r="V117" i="5"/>
  <c r="V111" i="5"/>
  <c r="G111" i="5"/>
  <c r="J111" i="5"/>
  <c r="M111" i="5"/>
  <c r="P111" i="5"/>
  <c r="S111" i="5"/>
  <c r="J105" i="5"/>
  <c r="M105" i="5"/>
  <c r="P105" i="5"/>
  <c r="S105" i="5"/>
  <c r="V105" i="5"/>
  <c r="G105" i="5"/>
  <c r="S99" i="5"/>
  <c r="V99" i="5"/>
  <c r="G99" i="5"/>
  <c r="J99" i="5"/>
  <c r="M99" i="5"/>
  <c r="P99" i="5"/>
  <c r="G93" i="5"/>
  <c r="J93" i="5"/>
  <c r="M93" i="5"/>
  <c r="P93" i="5"/>
  <c r="S93" i="5"/>
  <c r="V93" i="5"/>
  <c r="S87" i="5"/>
  <c r="V87" i="5"/>
  <c r="G87" i="5"/>
  <c r="J87" i="5"/>
  <c r="M87" i="5"/>
  <c r="P87" i="5"/>
  <c r="G81" i="5"/>
  <c r="J81" i="5"/>
  <c r="M81" i="5"/>
  <c r="P81" i="5"/>
  <c r="S81" i="5"/>
  <c r="V81" i="5"/>
  <c r="S75" i="5"/>
  <c r="V75" i="5"/>
  <c r="G75" i="5"/>
  <c r="J75" i="5"/>
  <c r="M75" i="5"/>
  <c r="P75" i="5"/>
  <c r="G69" i="5"/>
  <c r="J69" i="5"/>
  <c r="M69" i="5"/>
  <c r="P69" i="5"/>
  <c r="S69" i="5"/>
  <c r="V69" i="5"/>
  <c r="S63" i="5"/>
  <c r="V63" i="5"/>
  <c r="G63" i="5"/>
  <c r="J63" i="5"/>
  <c r="M63" i="5"/>
  <c r="P63" i="5"/>
  <c r="G57" i="5"/>
  <c r="J57" i="5"/>
  <c r="M57" i="5"/>
  <c r="P57" i="5"/>
  <c r="S57" i="5"/>
  <c r="V57" i="5"/>
  <c r="S51" i="5"/>
  <c r="V51" i="5"/>
  <c r="G51" i="5"/>
  <c r="J51" i="5"/>
  <c r="M51" i="5"/>
  <c r="P51" i="5"/>
  <c r="G45" i="5"/>
  <c r="J45" i="5"/>
  <c r="M45" i="5"/>
  <c r="P45" i="5"/>
  <c r="S45" i="5"/>
  <c r="V45" i="5"/>
  <c r="S39" i="5"/>
  <c r="V39" i="5"/>
  <c r="G39" i="5"/>
  <c r="J39" i="5"/>
  <c r="M39" i="5"/>
  <c r="P39" i="5"/>
  <c r="G33" i="5"/>
  <c r="J33" i="5"/>
  <c r="M33" i="5"/>
  <c r="P33" i="5"/>
  <c r="S33" i="5"/>
  <c r="V33" i="5"/>
  <c r="S27" i="5"/>
  <c r="V27" i="5"/>
  <c r="G27" i="5"/>
  <c r="J27" i="5"/>
  <c r="M27" i="5"/>
  <c r="P27" i="5"/>
  <c r="G21" i="5"/>
  <c r="J21" i="5"/>
  <c r="M21" i="5"/>
  <c r="P21" i="5"/>
  <c r="S21" i="5"/>
  <c r="V21" i="5"/>
  <c r="S15" i="5"/>
  <c r="V15" i="5"/>
  <c r="G15" i="5"/>
  <c r="J15" i="5"/>
  <c r="M15" i="5"/>
  <c r="P15" i="5"/>
  <c r="Q12" i="5"/>
  <c r="V237" i="5"/>
  <c r="P236" i="5"/>
  <c r="J235" i="5"/>
  <c r="V233" i="5"/>
  <c r="P232" i="5"/>
  <c r="J231" i="5"/>
  <c r="V229" i="5"/>
  <c r="P228" i="5"/>
  <c r="J227" i="5"/>
  <c r="V225" i="5"/>
  <c r="P224" i="5"/>
  <c r="J223" i="5"/>
  <c r="U221" i="5"/>
  <c r="M220" i="5"/>
  <c r="O217" i="5"/>
  <c r="Q214" i="5"/>
  <c r="I213" i="5"/>
  <c r="Q211" i="5"/>
  <c r="I210" i="5"/>
  <c r="S208" i="5"/>
  <c r="K207" i="5"/>
  <c r="U205" i="5"/>
  <c r="M204" i="5"/>
  <c r="O201" i="5"/>
  <c r="Q198" i="5"/>
  <c r="I197" i="5"/>
  <c r="Q195" i="5"/>
  <c r="I194" i="5"/>
  <c r="S192" i="5"/>
  <c r="K191" i="5"/>
  <c r="U189" i="5"/>
  <c r="M188" i="5"/>
  <c r="O185" i="5"/>
  <c r="Q182" i="5"/>
  <c r="I181" i="5"/>
  <c r="Q179" i="5"/>
  <c r="I178" i="5"/>
  <c r="S176" i="5"/>
  <c r="K175" i="5"/>
  <c r="U173" i="5"/>
  <c r="M172" i="5"/>
  <c r="O169" i="5"/>
  <c r="Q166" i="5"/>
  <c r="H165" i="5"/>
  <c r="O163" i="5"/>
  <c r="U161" i="5"/>
  <c r="H160" i="5"/>
  <c r="K156" i="5"/>
  <c r="I154" i="5"/>
  <c r="N152" i="5"/>
  <c r="P150" i="5"/>
  <c r="Q148" i="5"/>
  <c r="V146" i="5"/>
  <c r="T144" i="5"/>
  <c r="G143" i="5"/>
  <c r="Q140" i="5"/>
  <c r="U137" i="5"/>
  <c r="P134" i="5"/>
  <c r="P131" i="5"/>
  <c r="R128" i="5"/>
  <c r="S125" i="5"/>
  <c r="F120" i="5"/>
  <c r="O112" i="5"/>
  <c r="U94" i="5"/>
  <c r="U54" i="5"/>
  <c r="R159" i="5"/>
  <c r="U159" i="5"/>
  <c r="F153" i="5"/>
  <c r="I153" i="5"/>
  <c r="L153" i="5"/>
  <c r="R147" i="5"/>
  <c r="U147" i="5"/>
  <c r="F141" i="5"/>
  <c r="I141" i="5"/>
  <c r="L141" i="5"/>
  <c r="O141" i="5"/>
  <c r="R141" i="5"/>
  <c r="R135" i="5"/>
  <c r="U135" i="5"/>
  <c r="F135" i="5"/>
  <c r="F129" i="5"/>
  <c r="I129" i="5"/>
  <c r="L129" i="5"/>
  <c r="O129" i="5"/>
  <c r="R129" i="5"/>
  <c r="R123" i="5"/>
  <c r="U123" i="5"/>
  <c r="F123" i="5"/>
  <c r="I123" i="5"/>
  <c r="L123" i="5"/>
  <c r="O123" i="5"/>
  <c r="F117" i="5"/>
  <c r="I117" i="5"/>
  <c r="R117" i="5"/>
  <c r="R111" i="5"/>
  <c r="U111" i="5"/>
  <c r="F111" i="5"/>
  <c r="O111" i="5"/>
  <c r="I111" i="5"/>
  <c r="L111" i="5"/>
  <c r="F105" i="5"/>
  <c r="I105" i="5"/>
  <c r="L105" i="5"/>
  <c r="R105" i="5"/>
  <c r="O105" i="5"/>
  <c r="U105" i="5"/>
  <c r="R99" i="5"/>
  <c r="U99" i="5"/>
  <c r="F99" i="5"/>
  <c r="O99" i="5"/>
  <c r="I99" i="5"/>
  <c r="L99" i="5"/>
  <c r="F93" i="5"/>
  <c r="I93" i="5"/>
  <c r="L93" i="5"/>
  <c r="R93" i="5"/>
  <c r="O93" i="5"/>
  <c r="R87" i="5"/>
  <c r="U87" i="5"/>
  <c r="F87" i="5"/>
  <c r="I87" i="5"/>
  <c r="O87" i="5"/>
  <c r="F81" i="5"/>
  <c r="I81" i="5"/>
  <c r="L81" i="5"/>
  <c r="R81" i="5"/>
  <c r="U81" i="5"/>
  <c r="O81" i="5"/>
  <c r="R75" i="5"/>
  <c r="U75" i="5"/>
  <c r="F75" i="5"/>
  <c r="I75" i="5"/>
  <c r="L75" i="5"/>
  <c r="O75" i="5"/>
  <c r="F69" i="5"/>
  <c r="I69" i="5"/>
  <c r="L69" i="5"/>
  <c r="R69" i="5"/>
  <c r="U69" i="5"/>
  <c r="R63" i="5"/>
  <c r="U63" i="5"/>
  <c r="F63" i="5"/>
  <c r="I63" i="5"/>
  <c r="L63" i="5"/>
  <c r="O63" i="5"/>
  <c r="F57" i="5"/>
  <c r="I57" i="5"/>
  <c r="L57" i="5"/>
  <c r="R57" i="5"/>
  <c r="U57" i="5"/>
  <c r="R51" i="5"/>
  <c r="U51" i="5"/>
  <c r="F51" i="5"/>
  <c r="I51" i="5"/>
  <c r="L51" i="5"/>
  <c r="O51" i="5"/>
  <c r="F45" i="5"/>
  <c r="I45" i="5"/>
  <c r="L45" i="5"/>
  <c r="R45" i="5"/>
  <c r="U45" i="5"/>
  <c r="O45" i="5"/>
  <c r="R39" i="5"/>
  <c r="U39" i="5"/>
  <c r="F39" i="5"/>
  <c r="I39" i="5"/>
  <c r="L39" i="5"/>
  <c r="O39" i="5"/>
  <c r="F33" i="5"/>
  <c r="I33" i="5"/>
  <c r="L33" i="5"/>
  <c r="O33" i="5"/>
  <c r="R33" i="5"/>
  <c r="U33" i="5"/>
  <c r="R27" i="5"/>
  <c r="U27" i="5"/>
  <c r="F27" i="5"/>
  <c r="I27" i="5"/>
  <c r="L27" i="5"/>
  <c r="O27" i="5"/>
  <c r="F21" i="5"/>
  <c r="I21" i="5"/>
  <c r="L21" i="5"/>
  <c r="O21" i="5"/>
  <c r="R21" i="5"/>
  <c r="U21" i="5"/>
  <c r="R15" i="5"/>
  <c r="U15" i="5"/>
  <c r="F15" i="5"/>
  <c r="I15" i="5"/>
  <c r="L15" i="5"/>
  <c r="O15" i="5"/>
  <c r="R12" i="5"/>
  <c r="U237" i="5"/>
  <c r="O236" i="5"/>
  <c r="I235" i="5"/>
  <c r="U233" i="5"/>
  <c r="O232" i="5"/>
  <c r="I231" i="5"/>
  <c r="U229" i="5"/>
  <c r="O228" i="5"/>
  <c r="I227" i="5"/>
  <c r="U225" i="5"/>
  <c r="O224" i="5"/>
  <c r="I223" i="5"/>
  <c r="T221" i="5"/>
  <c r="L220" i="5"/>
  <c r="V218" i="5"/>
  <c r="N217" i="5"/>
  <c r="P214" i="5"/>
  <c r="H213" i="5"/>
  <c r="P211" i="5"/>
  <c r="H210" i="5"/>
  <c r="R208" i="5"/>
  <c r="J207" i="5"/>
  <c r="T205" i="5"/>
  <c r="L204" i="5"/>
  <c r="V202" i="5"/>
  <c r="N201" i="5"/>
  <c r="P198" i="5"/>
  <c r="H197" i="5"/>
  <c r="P195" i="5"/>
  <c r="H194" i="5"/>
  <c r="R192" i="5"/>
  <c r="J191" i="5"/>
  <c r="T189" i="5"/>
  <c r="L188" i="5"/>
  <c r="V186" i="5"/>
  <c r="N185" i="5"/>
  <c r="P182" i="5"/>
  <c r="H181" i="5"/>
  <c r="P179" i="5"/>
  <c r="H178" i="5"/>
  <c r="R176" i="5"/>
  <c r="J175" i="5"/>
  <c r="T173" i="5"/>
  <c r="L172" i="5"/>
  <c r="V170" i="5"/>
  <c r="N169" i="5"/>
  <c r="P166" i="5"/>
  <c r="N163" i="5"/>
  <c r="T161" i="5"/>
  <c r="V159" i="5"/>
  <c r="J156" i="5"/>
  <c r="H154" i="5"/>
  <c r="M152" i="5"/>
  <c r="K150" i="5"/>
  <c r="P148" i="5"/>
  <c r="S144" i="5"/>
  <c r="E143" i="5"/>
  <c r="T137" i="5"/>
  <c r="K134" i="5"/>
  <c r="O131" i="5"/>
  <c r="Q128" i="5"/>
  <c r="O124" i="5"/>
  <c r="T119" i="5"/>
  <c r="O109" i="5"/>
  <c r="F94" i="5"/>
  <c r="T53" i="5"/>
  <c r="H153" i="5"/>
  <c r="K153" i="5"/>
  <c r="H141" i="5"/>
  <c r="K141" i="5"/>
  <c r="N141" i="5"/>
  <c r="Q141" i="5"/>
  <c r="T135" i="5"/>
  <c r="E135" i="5"/>
  <c r="H129" i="5"/>
  <c r="K129" i="5"/>
  <c r="N129" i="5"/>
  <c r="Q129" i="5"/>
  <c r="E123" i="5"/>
  <c r="H123" i="5"/>
  <c r="K123" i="5"/>
  <c r="N123" i="5"/>
  <c r="E117" i="5"/>
  <c r="K117" i="5"/>
  <c r="Q117" i="5"/>
  <c r="Q111" i="5"/>
  <c r="E111" i="5"/>
  <c r="K111" i="5"/>
  <c r="N111" i="5"/>
  <c r="H111" i="5"/>
  <c r="T111" i="5"/>
  <c r="E105" i="5"/>
  <c r="K105" i="5"/>
  <c r="N105" i="5"/>
  <c r="Q105" i="5"/>
  <c r="H105" i="5"/>
  <c r="T105" i="5"/>
  <c r="Q99" i="5"/>
  <c r="T99" i="5"/>
  <c r="E99" i="5"/>
  <c r="K99" i="5"/>
  <c r="N99" i="5"/>
  <c r="H99" i="5"/>
  <c r="E93" i="5"/>
  <c r="H93" i="5"/>
  <c r="K93" i="5"/>
  <c r="N93" i="5"/>
  <c r="Q93" i="5"/>
  <c r="T93" i="5"/>
  <c r="Q87" i="5"/>
  <c r="T87" i="5"/>
  <c r="E87" i="5"/>
  <c r="K87" i="5"/>
  <c r="N87" i="5"/>
  <c r="E81" i="5"/>
  <c r="H81" i="5"/>
  <c r="K81" i="5"/>
  <c r="N81" i="5"/>
  <c r="Q81" i="5"/>
  <c r="T81" i="5"/>
  <c r="Q75" i="5"/>
  <c r="T75" i="5"/>
  <c r="E75" i="5"/>
  <c r="K75" i="5"/>
  <c r="N75" i="5"/>
  <c r="H75" i="5"/>
  <c r="E69" i="5"/>
  <c r="H69" i="5"/>
  <c r="K69" i="5"/>
  <c r="N69" i="5"/>
  <c r="Q69" i="5"/>
  <c r="Q63" i="5"/>
  <c r="T63" i="5"/>
  <c r="E63" i="5"/>
  <c r="K63" i="5"/>
  <c r="N63" i="5"/>
  <c r="H63" i="5"/>
  <c r="E57" i="5"/>
  <c r="H57" i="5"/>
  <c r="K57" i="5"/>
  <c r="N57" i="5"/>
  <c r="Q57" i="5"/>
  <c r="Q51" i="5"/>
  <c r="T51" i="5"/>
  <c r="E51" i="5"/>
  <c r="K51" i="5"/>
  <c r="N51" i="5"/>
  <c r="H51" i="5"/>
  <c r="E45" i="5"/>
  <c r="H45" i="5"/>
  <c r="K45" i="5"/>
  <c r="N45" i="5"/>
  <c r="Q45" i="5"/>
  <c r="T45" i="5"/>
  <c r="Q39" i="5"/>
  <c r="T39" i="5"/>
  <c r="E39" i="5"/>
  <c r="K39" i="5"/>
  <c r="N39" i="5"/>
  <c r="E33" i="5"/>
  <c r="H33" i="5"/>
  <c r="K33" i="5"/>
  <c r="N33" i="5"/>
  <c r="Q33" i="5"/>
  <c r="T33" i="5"/>
  <c r="Q27" i="5"/>
  <c r="T27" i="5"/>
  <c r="E27" i="5"/>
  <c r="K27" i="5"/>
  <c r="N27" i="5"/>
  <c r="H27" i="5"/>
  <c r="E21" i="5"/>
  <c r="H21" i="5"/>
  <c r="K21" i="5"/>
  <c r="N21" i="5"/>
  <c r="Q21" i="5"/>
  <c r="T21" i="5"/>
  <c r="Q15" i="5"/>
  <c r="T15" i="5"/>
  <c r="E15" i="5"/>
  <c r="H15" i="5"/>
  <c r="K15" i="5"/>
  <c r="N15" i="5"/>
  <c r="S12" i="5"/>
  <c r="T237" i="5"/>
  <c r="N236" i="5"/>
  <c r="H235" i="5"/>
  <c r="T233" i="5"/>
  <c r="N232" i="5"/>
  <c r="H231" i="5"/>
  <c r="T229" i="5"/>
  <c r="N228" i="5"/>
  <c r="H227" i="5"/>
  <c r="T225" i="5"/>
  <c r="N224" i="5"/>
  <c r="H223" i="5"/>
  <c r="S221" i="5"/>
  <c r="K220" i="5"/>
  <c r="U218" i="5"/>
  <c r="M217" i="5"/>
  <c r="O214" i="5"/>
  <c r="O211" i="5"/>
  <c r="G210" i="5"/>
  <c r="Q208" i="5"/>
  <c r="I207" i="5"/>
  <c r="S205" i="5"/>
  <c r="K204" i="5"/>
  <c r="U202" i="5"/>
  <c r="M201" i="5"/>
  <c r="O198" i="5"/>
  <c r="O195" i="5"/>
  <c r="G194" i="5"/>
  <c r="Q192" i="5"/>
  <c r="I191" i="5"/>
  <c r="S189" i="5"/>
  <c r="K188" i="5"/>
  <c r="U186" i="5"/>
  <c r="M185" i="5"/>
  <c r="O182" i="5"/>
  <c r="O179" i="5"/>
  <c r="G178" i="5"/>
  <c r="Q176" i="5"/>
  <c r="I175" i="5"/>
  <c r="S173" i="5"/>
  <c r="K172" i="5"/>
  <c r="U170" i="5"/>
  <c r="M169" i="5"/>
  <c r="O166" i="5"/>
  <c r="V164" i="5"/>
  <c r="M163" i="5"/>
  <c r="S161" i="5"/>
  <c r="Q159" i="5"/>
  <c r="V157" i="5"/>
  <c r="I156" i="5"/>
  <c r="G154" i="5"/>
  <c r="L152" i="5"/>
  <c r="J150" i="5"/>
  <c r="O148" i="5"/>
  <c r="T146" i="5"/>
  <c r="R144" i="5"/>
  <c r="V142" i="5"/>
  <c r="J137" i="5"/>
  <c r="N131" i="5"/>
  <c r="N124" i="5"/>
  <c r="S119" i="5"/>
  <c r="L109" i="5"/>
  <c r="U93" i="5"/>
  <c r="T41" i="5"/>
  <c r="S237" i="5"/>
  <c r="M236" i="5"/>
  <c r="S233" i="5"/>
  <c r="M232" i="5"/>
  <c r="S229" i="5"/>
  <c r="M228" i="5"/>
  <c r="S225" i="5"/>
  <c r="M224" i="5"/>
  <c r="R221" i="5"/>
  <c r="J220" i="5"/>
  <c r="T218" i="5"/>
  <c r="L217" i="5"/>
  <c r="V215" i="5"/>
  <c r="N214" i="5"/>
  <c r="V212" i="5"/>
  <c r="N211" i="5"/>
  <c r="F210" i="5"/>
  <c r="P208" i="5"/>
  <c r="H207" i="5"/>
  <c r="R205" i="5"/>
  <c r="J204" i="5"/>
  <c r="T202" i="5"/>
  <c r="L201" i="5"/>
  <c r="V199" i="5"/>
  <c r="N198" i="5"/>
  <c r="V196" i="5"/>
  <c r="N195" i="5"/>
  <c r="F194" i="5"/>
  <c r="P192" i="5"/>
  <c r="H191" i="5"/>
  <c r="R189" i="5"/>
  <c r="J188" i="5"/>
  <c r="T186" i="5"/>
  <c r="L185" i="5"/>
  <c r="V183" i="5"/>
  <c r="N182" i="5"/>
  <c r="V180" i="5"/>
  <c r="N179" i="5"/>
  <c r="F178" i="5"/>
  <c r="P176" i="5"/>
  <c r="H175" i="5"/>
  <c r="R173" i="5"/>
  <c r="J172" i="5"/>
  <c r="T170" i="5"/>
  <c r="L169" i="5"/>
  <c r="V167" i="5"/>
  <c r="N166" i="5"/>
  <c r="U164" i="5"/>
  <c r="L163" i="5"/>
  <c r="R161" i="5"/>
  <c r="P159" i="5"/>
  <c r="U157" i="5"/>
  <c r="H156" i="5"/>
  <c r="F154" i="5"/>
  <c r="K152" i="5"/>
  <c r="I150" i="5"/>
  <c r="N148" i="5"/>
  <c r="Q144" i="5"/>
  <c r="U142" i="5"/>
  <c r="E137" i="5"/>
  <c r="M131" i="5"/>
  <c r="M124" i="5"/>
  <c r="O119" i="5"/>
  <c r="H109" i="5"/>
  <c r="I88" i="5"/>
  <c r="O41" i="5"/>
  <c r="M158" i="5"/>
  <c r="S158" i="5"/>
  <c r="M146" i="5"/>
  <c r="S146" i="5"/>
  <c r="G140" i="5"/>
  <c r="J140" i="5"/>
  <c r="M140" i="5"/>
  <c r="M134" i="5"/>
  <c r="S134" i="5"/>
  <c r="V134" i="5"/>
  <c r="G128" i="5"/>
  <c r="J128" i="5"/>
  <c r="M128" i="5"/>
  <c r="P122" i="5"/>
  <c r="V122" i="5"/>
  <c r="G122" i="5"/>
  <c r="J122" i="5"/>
  <c r="M122" i="5"/>
  <c r="S122" i="5"/>
  <c r="G116" i="5"/>
  <c r="J116" i="5"/>
  <c r="M116" i="5"/>
  <c r="P116" i="5"/>
  <c r="S116" i="5"/>
  <c r="V116" i="5"/>
  <c r="P110" i="5"/>
  <c r="S110" i="5"/>
  <c r="V110" i="5"/>
  <c r="G110" i="5"/>
  <c r="J110" i="5"/>
  <c r="M110" i="5"/>
  <c r="G104" i="5"/>
  <c r="J104" i="5"/>
  <c r="M104" i="5"/>
  <c r="P104" i="5"/>
  <c r="S104" i="5"/>
  <c r="V104" i="5"/>
  <c r="M98" i="5"/>
  <c r="P98" i="5"/>
  <c r="S98" i="5"/>
  <c r="V98" i="5"/>
  <c r="G98" i="5"/>
  <c r="J98" i="5"/>
  <c r="G92" i="5"/>
  <c r="J92" i="5"/>
  <c r="M92" i="5"/>
  <c r="P92" i="5"/>
  <c r="S92" i="5"/>
  <c r="V92" i="5"/>
  <c r="M86" i="5"/>
  <c r="P86" i="5"/>
  <c r="S86" i="5"/>
  <c r="V86" i="5"/>
  <c r="G86" i="5"/>
  <c r="J86" i="5"/>
  <c r="G80" i="5"/>
  <c r="J80" i="5"/>
  <c r="M80" i="5"/>
  <c r="P80" i="5"/>
  <c r="S80" i="5"/>
  <c r="V80" i="5"/>
  <c r="M74" i="5"/>
  <c r="P74" i="5"/>
  <c r="S74" i="5"/>
  <c r="V74" i="5"/>
  <c r="G74" i="5"/>
  <c r="J74" i="5"/>
  <c r="G68" i="5"/>
  <c r="J68" i="5"/>
  <c r="M68" i="5"/>
  <c r="P68" i="5"/>
  <c r="S68" i="5"/>
  <c r="V68" i="5"/>
  <c r="M62" i="5"/>
  <c r="P62" i="5"/>
  <c r="S62" i="5"/>
  <c r="V62" i="5"/>
  <c r="G62" i="5"/>
  <c r="J62" i="5"/>
  <c r="G56" i="5"/>
  <c r="J56" i="5"/>
  <c r="M56" i="5"/>
  <c r="P56" i="5"/>
  <c r="S56" i="5"/>
  <c r="V56" i="5"/>
  <c r="M50" i="5"/>
  <c r="P50" i="5"/>
  <c r="S50" i="5"/>
  <c r="V50" i="5"/>
  <c r="G50" i="5"/>
  <c r="J50" i="5"/>
  <c r="G44" i="5"/>
  <c r="J44" i="5"/>
  <c r="M44" i="5"/>
  <c r="P44" i="5"/>
  <c r="S44" i="5"/>
  <c r="V44" i="5"/>
  <c r="M38" i="5"/>
  <c r="P38" i="5"/>
  <c r="S38" i="5"/>
  <c r="V38" i="5"/>
  <c r="G38" i="5"/>
  <c r="J38" i="5"/>
  <c r="G32" i="5"/>
  <c r="J32" i="5"/>
  <c r="M32" i="5"/>
  <c r="P32" i="5"/>
  <c r="S32" i="5"/>
  <c r="V32" i="5"/>
  <c r="M26" i="5"/>
  <c r="P26" i="5"/>
  <c r="S26" i="5"/>
  <c r="V26" i="5"/>
  <c r="G26" i="5"/>
  <c r="J26" i="5"/>
  <c r="G20" i="5"/>
  <c r="J20" i="5"/>
  <c r="M20" i="5"/>
  <c r="P20" i="5"/>
  <c r="S20" i="5"/>
  <c r="V20" i="5"/>
  <c r="M14" i="5"/>
  <c r="P14" i="5"/>
  <c r="S14" i="5"/>
  <c r="V14" i="5"/>
  <c r="G14" i="5"/>
  <c r="J14" i="5"/>
  <c r="R237" i="5"/>
  <c r="L236" i="5"/>
  <c r="R233" i="5"/>
  <c r="L232" i="5"/>
  <c r="R229" i="5"/>
  <c r="L228" i="5"/>
  <c r="R225" i="5"/>
  <c r="L224" i="5"/>
  <c r="Q221" i="5"/>
  <c r="I220" i="5"/>
  <c r="S218" i="5"/>
  <c r="K217" i="5"/>
  <c r="U215" i="5"/>
  <c r="K214" i="5"/>
  <c r="U212" i="5"/>
  <c r="M211" i="5"/>
  <c r="O208" i="5"/>
  <c r="G207" i="5"/>
  <c r="Q205" i="5"/>
  <c r="I204" i="5"/>
  <c r="S202" i="5"/>
  <c r="K201" i="5"/>
  <c r="U199" i="5"/>
  <c r="K198" i="5"/>
  <c r="U196" i="5"/>
  <c r="M195" i="5"/>
  <c r="O192" i="5"/>
  <c r="G191" i="5"/>
  <c r="Q189" i="5"/>
  <c r="I188" i="5"/>
  <c r="S186" i="5"/>
  <c r="K185" i="5"/>
  <c r="U183" i="5"/>
  <c r="K182" i="5"/>
  <c r="U180" i="5"/>
  <c r="M179" i="5"/>
  <c r="O176" i="5"/>
  <c r="G175" i="5"/>
  <c r="Q173" i="5"/>
  <c r="I172" i="5"/>
  <c r="S170" i="5"/>
  <c r="K169" i="5"/>
  <c r="U167" i="5"/>
  <c r="K166" i="5"/>
  <c r="T164" i="5"/>
  <c r="K163" i="5"/>
  <c r="Q161" i="5"/>
  <c r="O159" i="5"/>
  <c r="T157" i="5"/>
  <c r="V155" i="5"/>
  <c r="E154" i="5"/>
  <c r="J152" i="5"/>
  <c r="H150" i="5"/>
  <c r="M148" i="5"/>
  <c r="P144" i="5"/>
  <c r="T142" i="5"/>
  <c r="V139" i="5"/>
  <c r="V136" i="5"/>
  <c r="L131" i="5"/>
  <c r="I124" i="5"/>
  <c r="N119" i="5"/>
  <c r="L87" i="5"/>
  <c r="N40" i="5"/>
  <c r="L158" i="5"/>
  <c r="O158" i="5"/>
  <c r="R158" i="5"/>
  <c r="L146" i="5"/>
  <c r="O146" i="5"/>
  <c r="R146" i="5"/>
  <c r="F140" i="5"/>
  <c r="I140" i="5"/>
  <c r="L140" i="5"/>
  <c r="L134" i="5"/>
  <c r="O134" i="5"/>
  <c r="R134" i="5"/>
  <c r="U134" i="5"/>
  <c r="F128" i="5"/>
  <c r="I128" i="5"/>
  <c r="L128" i="5"/>
  <c r="L122" i="5"/>
  <c r="O122" i="5"/>
  <c r="R122" i="5"/>
  <c r="U122" i="5"/>
  <c r="L116" i="5"/>
  <c r="U116" i="5"/>
  <c r="F116" i="5"/>
  <c r="I116" i="5"/>
  <c r="O116" i="5"/>
  <c r="L110" i="5"/>
  <c r="O110" i="5"/>
  <c r="I110" i="5"/>
  <c r="F110" i="5"/>
  <c r="R110" i="5"/>
  <c r="U110" i="5"/>
  <c r="F104" i="5"/>
  <c r="L104" i="5"/>
  <c r="U104" i="5"/>
  <c r="O104" i="5"/>
  <c r="R104" i="5"/>
  <c r="L98" i="5"/>
  <c r="O98" i="5"/>
  <c r="R98" i="5"/>
  <c r="I98" i="5"/>
  <c r="F98" i="5"/>
  <c r="U98" i="5"/>
  <c r="F92" i="5"/>
  <c r="L92" i="5"/>
  <c r="U92" i="5"/>
  <c r="I92" i="5"/>
  <c r="O92" i="5"/>
  <c r="R92" i="5"/>
  <c r="L86" i="5"/>
  <c r="O86" i="5"/>
  <c r="R86" i="5"/>
  <c r="I86" i="5"/>
  <c r="F80" i="5"/>
  <c r="L80" i="5"/>
  <c r="O80" i="5"/>
  <c r="R80" i="5"/>
  <c r="U80" i="5"/>
  <c r="I80" i="5"/>
  <c r="L74" i="5"/>
  <c r="O74" i="5"/>
  <c r="R74" i="5"/>
  <c r="F74" i="5"/>
  <c r="I74" i="5"/>
  <c r="U74" i="5"/>
  <c r="F68" i="5"/>
  <c r="L68" i="5"/>
  <c r="O68" i="5"/>
  <c r="R68" i="5"/>
  <c r="U68" i="5"/>
  <c r="I68" i="5"/>
  <c r="L62" i="5"/>
  <c r="O62" i="5"/>
  <c r="R62" i="5"/>
  <c r="F62" i="5"/>
  <c r="I62" i="5"/>
  <c r="U62" i="5"/>
  <c r="F56" i="5"/>
  <c r="L56" i="5"/>
  <c r="O56" i="5"/>
  <c r="R56" i="5"/>
  <c r="U56" i="5"/>
  <c r="L50" i="5"/>
  <c r="O50" i="5"/>
  <c r="R50" i="5"/>
  <c r="F50" i="5"/>
  <c r="I50" i="5"/>
  <c r="U50" i="5"/>
  <c r="F44" i="5"/>
  <c r="L44" i="5"/>
  <c r="O44" i="5"/>
  <c r="R44" i="5"/>
  <c r="U44" i="5"/>
  <c r="I44" i="5"/>
  <c r="L38" i="5"/>
  <c r="O38" i="5"/>
  <c r="R38" i="5"/>
  <c r="F38" i="5"/>
  <c r="I38" i="5"/>
  <c r="F32" i="5"/>
  <c r="I32" i="5"/>
  <c r="L32" i="5"/>
  <c r="O32" i="5"/>
  <c r="R32" i="5"/>
  <c r="U32" i="5"/>
  <c r="L26" i="5"/>
  <c r="O26" i="5"/>
  <c r="R26" i="5"/>
  <c r="U26" i="5"/>
  <c r="F26" i="5"/>
  <c r="I26" i="5"/>
  <c r="F20" i="5"/>
  <c r="I20" i="5"/>
  <c r="L20" i="5"/>
  <c r="O20" i="5"/>
  <c r="R20" i="5"/>
  <c r="U20" i="5"/>
  <c r="L14" i="5"/>
  <c r="O14" i="5"/>
  <c r="R14" i="5"/>
  <c r="U14" i="5"/>
  <c r="F14" i="5"/>
  <c r="I14" i="5"/>
  <c r="Q237" i="5"/>
  <c r="K236" i="5"/>
  <c r="Q233" i="5"/>
  <c r="K232" i="5"/>
  <c r="Q229" i="5"/>
  <c r="K228" i="5"/>
  <c r="Q225" i="5"/>
  <c r="K224" i="5"/>
  <c r="P221" i="5"/>
  <c r="H220" i="5"/>
  <c r="R218" i="5"/>
  <c r="J217" i="5"/>
  <c r="T215" i="5"/>
  <c r="J214" i="5"/>
  <c r="T212" i="5"/>
  <c r="L211" i="5"/>
  <c r="V209" i="5"/>
  <c r="N208" i="5"/>
  <c r="F207" i="5"/>
  <c r="P205" i="5"/>
  <c r="H204" i="5"/>
  <c r="R202" i="5"/>
  <c r="J201" i="5"/>
  <c r="T199" i="5"/>
  <c r="J198" i="5"/>
  <c r="T196" i="5"/>
  <c r="L195" i="5"/>
  <c r="V193" i="5"/>
  <c r="N192" i="5"/>
  <c r="F191" i="5"/>
  <c r="P189" i="5"/>
  <c r="H188" i="5"/>
  <c r="R186" i="5"/>
  <c r="J185" i="5"/>
  <c r="T183" i="5"/>
  <c r="J182" i="5"/>
  <c r="T180" i="5"/>
  <c r="L179" i="5"/>
  <c r="V177" i="5"/>
  <c r="N176" i="5"/>
  <c r="F175" i="5"/>
  <c r="P173" i="5"/>
  <c r="H172" i="5"/>
  <c r="R170" i="5"/>
  <c r="J169" i="5"/>
  <c r="T167" i="5"/>
  <c r="J166" i="5"/>
  <c r="S164" i="5"/>
  <c r="J163" i="5"/>
  <c r="P161" i="5"/>
  <c r="N159" i="5"/>
  <c r="Q155" i="5"/>
  <c r="V153" i="5"/>
  <c r="I152" i="5"/>
  <c r="G150" i="5"/>
  <c r="L148" i="5"/>
  <c r="J146" i="5"/>
  <c r="O144" i="5"/>
  <c r="P142" i="5"/>
  <c r="Q139" i="5"/>
  <c r="U136" i="5"/>
  <c r="G134" i="5"/>
  <c r="K131" i="5"/>
  <c r="Q127" i="5"/>
  <c r="H124" i="5"/>
  <c r="L119" i="5"/>
  <c r="R108" i="5"/>
  <c r="H87" i="5"/>
  <c r="I40" i="5"/>
  <c r="N158" i="5"/>
  <c r="Q158" i="5"/>
  <c r="N146" i="5"/>
  <c r="Q146" i="5"/>
  <c r="E140" i="5"/>
  <c r="H140" i="5"/>
  <c r="K140" i="5"/>
  <c r="N134" i="5"/>
  <c r="Q134" i="5"/>
  <c r="T134" i="5"/>
  <c r="E128" i="5"/>
  <c r="H128" i="5"/>
  <c r="K128" i="5"/>
  <c r="Q122" i="5"/>
  <c r="N122" i="5"/>
  <c r="T122" i="5"/>
  <c r="E116" i="5"/>
  <c r="K116" i="5"/>
  <c r="T116" i="5"/>
  <c r="H116" i="5"/>
  <c r="N116" i="5"/>
  <c r="K110" i="5"/>
  <c r="Q110" i="5"/>
  <c r="T110" i="5"/>
  <c r="E110" i="5"/>
  <c r="H110" i="5"/>
  <c r="N110" i="5"/>
  <c r="E104" i="5"/>
  <c r="H104" i="5"/>
  <c r="K104" i="5"/>
  <c r="Q104" i="5"/>
  <c r="T104" i="5"/>
  <c r="K98" i="5"/>
  <c r="N98" i="5"/>
  <c r="Q98" i="5"/>
  <c r="T98" i="5"/>
  <c r="E98" i="5"/>
  <c r="H98" i="5"/>
  <c r="E92" i="5"/>
  <c r="H92" i="5"/>
  <c r="K92" i="5"/>
  <c r="Q92" i="5"/>
  <c r="T92" i="5"/>
  <c r="N92" i="5"/>
  <c r="K86" i="5"/>
  <c r="N86" i="5"/>
  <c r="Q86" i="5"/>
  <c r="T86" i="5"/>
  <c r="E86" i="5"/>
  <c r="H86" i="5"/>
  <c r="E80" i="5"/>
  <c r="H80" i="5"/>
  <c r="K80" i="5"/>
  <c r="Q80" i="5"/>
  <c r="T80" i="5"/>
  <c r="N80" i="5"/>
  <c r="K74" i="5"/>
  <c r="N74" i="5"/>
  <c r="Q74" i="5"/>
  <c r="T74" i="5"/>
  <c r="E74" i="5"/>
  <c r="H74" i="5"/>
  <c r="E68" i="5"/>
  <c r="H68" i="5"/>
  <c r="K68" i="5"/>
  <c r="Q68" i="5"/>
  <c r="T68" i="5"/>
  <c r="N68" i="5"/>
  <c r="K62" i="5"/>
  <c r="N62" i="5"/>
  <c r="Q62" i="5"/>
  <c r="T62" i="5"/>
  <c r="E62" i="5"/>
  <c r="H62" i="5"/>
  <c r="E56" i="5"/>
  <c r="H56" i="5"/>
  <c r="K56" i="5"/>
  <c r="Q56" i="5"/>
  <c r="T56" i="5"/>
  <c r="K50" i="5"/>
  <c r="N50" i="5"/>
  <c r="Q50" i="5"/>
  <c r="T50" i="5"/>
  <c r="E50" i="5"/>
  <c r="H50" i="5"/>
  <c r="E44" i="5"/>
  <c r="H44" i="5"/>
  <c r="K44" i="5"/>
  <c r="Q44" i="5"/>
  <c r="T44" i="5"/>
  <c r="N44" i="5"/>
  <c r="K38" i="5"/>
  <c r="N38" i="5"/>
  <c r="Q38" i="5"/>
  <c r="T38" i="5"/>
  <c r="E38" i="5"/>
  <c r="H38" i="5"/>
  <c r="E32" i="5"/>
  <c r="H32" i="5"/>
  <c r="K32" i="5"/>
  <c r="Q32" i="5"/>
  <c r="T32" i="5"/>
  <c r="N32" i="5"/>
  <c r="K26" i="5"/>
  <c r="N26" i="5"/>
  <c r="Q26" i="5"/>
  <c r="T26" i="5"/>
  <c r="E26" i="5"/>
  <c r="H26" i="5"/>
  <c r="E20" i="5"/>
  <c r="H20" i="5"/>
  <c r="K20" i="5"/>
  <c r="Q20" i="5"/>
  <c r="T20" i="5"/>
  <c r="N20" i="5"/>
  <c r="K14" i="5"/>
  <c r="N14" i="5"/>
  <c r="Q14" i="5"/>
  <c r="T14" i="5"/>
  <c r="E14" i="5"/>
  <c r="H14" i="5"/>
  <c r="V222" i="5"/>
  <c r="O221" i="5"/>
  <c r="I217" i="5"/>
  <c r="I214" i="5"/>
  <c r="U209" i="5"/>
  <c r="O205" i="5"/>
  <c r="I201" i="5"/>
  <c r="I198" i="5"/>
  <c r="U193" i="5"/>
  <c r="O189" i="5"/>
  <c r="I185" i="5"/>
  <c r="I182" i="5"/>
  <c r="U177" i="5"/>
  <c r="O173" i="5"/>
  <c r="I169" i="5"/>
  <c r="I166" i="5"/>
  <c r="I163" i="5"/>
  <c r="O161" i="5"/>
  <c r="M159" i="5"/>
  <c r="R157" i="5"/>
  <c r="P155" i="5"/>
  <c r="U153" i="5"/>
  <c r="H152" i="5"/>
  <c r="F150" i="5"/>
  <c r="K148" i="5"/>
  <c r="I146" i="5"/>
  <c r="N144" i="5"/>
  <c r="K142" i="5"/>
  <c r="T136" i="5"/>
  <c r="F134" i="5"/>
  <c r="J131" i="5"/>
  <c r="G124" i="5"/>
  <c r="K119" i="5"/>
  <c r="O108" i="5"/>
  <c r="U86" i="5"/>
  <c r="H39" i="5"/>
  <c r="P218" i="5"/>
  <c r="H217" i="5"/>
  <c r="P215" i="5"/>
  <c r="J211" i="5"/>
  <c r="V206" i="5"/>
  <c r="P202" i="5"/>
  <c r="H201" i="5"/>
  <c r="P199" i="5"/>
  <c r="J195" i="5"/>
  <c r="V190" i="5"/>
  <c r="P186" i="5"/>
  <c r="H185" i="5"/>
  <c r="P183" i="5"/>
  <c r="J179" i="5"/>
  <c r="V174" i="5"/>
  <c r="P170" i="5"/>
  <c r="H169" i="5"/>
  <c r="P167" i="5"/>
  <c r="N161" i="5"/>
  <c r="L159" i="5"/>
  <c r="Q157" i="5"/>
  <c r="O155" i="5"/>
  <c r="T153" i="5"/>
  <c r="V151" i="5"/>
  <c r="E150" i="5"/>
  <c r="J148" i="5"/>
  <c r="H146" i="5"/>
  <c r="M144" i="5"/>
  <c r="J142" i="5"/>
  <c r="O139" i="5"/>
  <c r="S136" i="5"/>
  <c r="E134" i="5"/>
  <c r="I131" i="5"/>
  <c r="O127" i="5"/>
  <c r="F124" i="5"/>
  <c r="U117" i="5"/>
  <c r="N108" i="5"/>
  <c r="F86" i="5"/>
  <c r="U38" i="5"/>
  <c r="G157" i="5"/>
  <c r="M157" i="5"/>
  <c r="G145" i="5"/>
  <c r="M145" i="5"/>
  <c r="S139" i="5"/>
  <c r="G139" i="5"/>
  <c r="G133" i="5"/>
  <c r="M133" i="5"/>
  <c r="P133" i="5"/>
  <c r="S133" i="5"/>
  <c r="S127" i="5"/>
  <c r="V127" i="5"/>
  <c r="G127" i="5"/>
  <c r="J121" i="5"/>
  <c r="P121" i="5"/>
  <c r="G121" i="5"/>
  <c r="M121" i="5"/>
  <c r="V115" i="5"/>
  <c r="G115" i="5"/>
  <c r="J115" i="5"/>
  <c r="M115" i="5"/>
  <c r="P115" i="5"/>
  <c r="S115" i="5"/>
  <c r="J109" i="5"/>
  <c r="M109" i="5"/>
  <c r="P109" i="5"/>
  <c r="S109" i="5"/>
  <c r="V109" i="5"/>
  <c r="S103" i="5"/>
  <c r="V103" i="5"/>
  <c r="G103" i="5"/>
  <c r="J103" i="5"/>
  <c r="M103" i="5"/>
  <c r="P103" i="5"/>
  <c r="G97" i="5"/>
  <c r="J97" i="5"/>
  <c r="M97" i="5"/>
  <c r="P97" i="5"/>
  <c r="S97" i="5"/>
  <c r="V97" i="5"/>
  <c r="S91" i="5"/>
  <c r="V91" i="5"/>
  <c r="G91" i="5"/>
  <c r="J91" i="5"/>
  <c r="M91" i="5"/>
  <c r="P91" i="5"/>
  <c r="G85" i="5"/>
  <c r="J85" i="5"/>
  <c r="M85" i="5"/>
  <c r="P85" i="5"/>
  <c r="S85" i="5"/>
  <c r="V85" i="5"/>
  <c r="S79" i="5"/>
  <c r="V79" i="5"/>
  <c r="G79" i="5"/>
  <c r="J79" i="5"/>
  <c r="M79" i="5"/>
  <c r="P79" i="5"/>
  <c r="G73" i="5"/>
  <c r="J73" i="5"/>
  <c r="M73" i="5"/>
  <c r="P73" i="5"/>
  <c r="S73" i="5"/>
  <c r="V73" i="5"/>
  <c r="S67" i="5"/>
  <c r="V67" i="5"/>
  <c r="G67" i="5"/>
  <c r="J67" i="5"/>
  <c r="M67" i="5"/>
  <c r="P67" i="5"/>
  <c r="G61" i="5"/>
  <c r="J61" i="5"/>
  <c r="M61" i="5"/>
  <c r="P61" i="5"/>
  <c r="S61" i="5"/>
  <c r="V61" i="5"/>
  <c r="S55" i="5"/>
  <c r="V55" i="5"/>
  <c r="G55" i="5"/>
  <c r="J55" i="5"/>
  <c r="M55" i="5"/>
  <c r="P55" i="5"/>
  <c r="G49" i="5"/>
  <c r="J49" i="5"/>
  <c r="M49" i="5"/>
  <c r="P49" i="5"/>
  <c r="S49" i="5"/>
  <c r="V49" i="5"/>
  <c r="S43" i="5"/>
  <c r="V43" i="5"/>
  <c r="G43" i="5"/>
  <c r="J43" i="5"/>
  <c r="M43" i="5"/>
  <c r="P43" i="5"/>
  <c r="G37" i="5"/>
  <c r="J37" i="5"/>
  <c r="M37" i="5"/>
  <c r="P37" i="5"/>
  <c r="S37" i="5"/>
  <c r="V37" i="5"/>
  <c r="S31" i="5"/>
  <c r="V31" i="5"/>
  <c r="G31" i="5"/>
  <c r="J31" i="5"/>
  <c r="M31" i="5"/>
  <c r="P31" i="5"/>
  <c r="G25" i="5"/>
  <c r="J25" i="5"/>
  <c r="M25" i="5"/>
  <c r="P25" i="5"/>
  <c r="S25" i="5"/>
  <c r="V25" i="5"/>
  <c r="S19" i="5"/>
  <c r="V19" i="5"/>
  <c r="G19" i="5"/>
  <c r="J19" i="5"/>
  <c r="M19" i="5"/>
  <c r="P19" i="5"/>
  <c r="G13" i="5"/>
  <c r="J13" i="5"/>
  <c r="M13" i="5"/>
  <c r="P13" i="5"/>
  <c r="S13" i="5"/>
  <c r="V13" i="5"/>
  <c r="M221" i="5"/>
  <c r="O218" i="5"/>
  <c r="O215" i="5"/>
  <c r="G214" i="5"/>
  <c r="I211" i="5"/>
  <c r="S209" i="5"/>
  <c r="U206" i="5"/>
  <c r="M205" i="5"/>
  <c r="O202" i="5"/>
  <c r="O199" i="5"/>
  <c r="G198" i="5"/>
  <c r="I195" i="5"/>
  <c r="S193" i="5"/>
  <c r="U190" i="5"/>
  <c r="M189" i="5"/>
  <c r="O186" i="5"/>
  <c r="O183" i="5"/>
  <c r="G182" i="5"/>
  <c r="I179" i="5"/>
  <c r="S177" i="5"/>
  <c r="U174" i="5"/>
  <c r="M173" i="5"/>
  <c r="O170" i="5"/>
  <c r="O167" i="5"/>
  <c r="G166" i="5"/>
  <c r="P164" i="5"/>
  <c r="G163" i="5"/>
  <c r="J161" i="5"/>
  <c r="K159" i="5"/>
  <c r="P157" i="5"/>
  <c r="N155" i="5"/>
  <c r="S153" i="5"/>
  <c r="Q151" i="5"/>
  <c r="V149" i="5"/>
  <c r="I148" i="5"/>
  <c r="G146" i="5"/>
  <c r="L144" i="5"/>
  <c r="I142" i="5"/>
  <c r="N139" i="5"/>
  <c r="R136" i="5"/>
  <c r="V133" i="5"/>
  <c r="H131" i="5"/>
  <c r="N127" i="5"/>
  <c r="T123" i="5"/>
  <c r="T117" i="5"/>
  <c r="I108" i="5"/>
  <c r="T85" i="5"/>
  <c r="T37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ACCE521-E9F0-4FE6-98D7-9E0965893E8F}" keepAlive="1" name="Abfrage - Beispieldatei" description="Verbindung mit der Abfrage 'Beispieldatei' in der Arbeitsmappe." type="5" refreshedVersion="0" background="1">
    <dbPr connection="Provider=Microsoft.Mashup.OleDb.1;Data Source=$Workbook$;Location=Beispieldatei;Extended Properties=&quot;&quot;" command="SELECT * FROM [Beispieldatei]"/>
  </connection>
  <connection id="2" xr16:uid="{D5D51546-1894-4BC4-84D6-3B84D834DC21}" keepAlive="1" name="Abfrage - Beispieldatei transformieren" description="Verbindung mit der Abfrage 'Beispieldatei transformieren' in der Arbeitsmappe." type="5" refreshedVersion="0" background="1">
    <dbPr connection="Provider=Microsoft.Mashup.OleDb.1;Data Source=$Workbook$;Location=&quot;Beispieldatei transformieren&quot;;Extended Properties=&quot;&quot;" command="SELECT * FROM [Beispieldatei transformieren]"/>
  </connection>
  <connection id="3" xr16:uid="{EBC79FF7-8BB1-4B4A-9C11-F7730CFFBAAB}" keepAlive="1" name="Abfrage - Datei transformieren" description="Verbindung mit der Abfrage 'Datei transformieren' in der Arbeitsmappe." type="5" refreshedVersion="0" background="1">
    <dbPr connection="Provider=Microsoft.Mashup.OleDb.1;Data Source=$Workbook$;Location=&quot;Datei transformieren&quot;;Extended Properties=&quot;&quot;" command="SELECT * FROM [Datei transformieren]"/>
  </connection>
  <connection id="4" xr16:uid="{374F0142-3188-4339-9FD7-1E2B861CABA8}" keepAlive="1" name="Abfrage - Parameter1" description="Verbindung mit der Abfrage 'Parameter1' in der Arbeitsmappe." type="5" refreshedVersion="0" background="1">
    <dbPr connection="Provider=Microsoft.Mashup.OleDb.1;Data Source=$Workbook$;Location=Parameter1;Extended Properties=&quot;&quot;" command="SELECT * FROM [Parameter1]"/>
  </connection>
  <connection id="5" xr16:uid="{9684C37B-729A-4C28-AAB0-A4BC45423C26}" keepAlive="1" name="Abfrage - wikily_maps" description="Verbindung mit der Abfrage 'wikily_maps' in der Arbeitsmappe." type="5" refreshedVersion="8" background="1" saveData="1">
    <dbPr connection="Provider=Microsoft.Mashup.OleDb.1;Data Source=$Workbook$;Location=wikily_maps;Extended Properties=&quot;&quot;" command="SELECT * FROM [wikily_maps]"/>
  </connection>
</connections>
</file>

<file path=xl/sharedStrings.xml><?xml version="1.0" encoding="utf-8"?>
<sst xmlns="http://schemas.openxmlformats.org/spreadsheetml/2006/main" count="3178" uniqueCount="740">
  <si>
    <t>Creature</t>
  </si>
  <si>
    <t>?</t>
  </si>
  <si>
    <t xml:space="preserve"> Health</t>
  </si>
  <si>
    <t xml:space="preserve"> Stamina</t>
  </si>
  <si>
    <t xml:space="preserve"> Oxygen</t>
  </si>
  <si>
    <t xml:space="preserve"> Food</t>
  </si>
  <si>
    <t xml:space="preserve"> Weight</t>
  </si>
  <si>
    <t xml:space="preserve"> Movement Speed</t>
  </si>
  <si>
    <t xml:space="preserve"> Torpidity</t>
  </si>
  <si>
    <t xml:space="preserve"> Achatina</t>
  </si>
  <si>
    <t xml:space="preserve"> Allosaurus</t>
  </si>
  <si>
    <t xml:space="preserve"> Amargasaurus</t>
  </si>
  <si>
    <t xml:space="preserve"> Ammonite</t>
  </si>
  <si>
    <t xml:space="preserve"> Andrewsarchus</t>
  </si>
  <si>
    <t xml:space="preserve"> Anglerfish</t>
  </si>
  <si>
    <t xml:space="preserve"> Ankylosaurus</t>
  </si>
  <si>
    <t xml:space="preserve"> Araneo</t>
  </si>
  <si>
    <t xml:space="preserve"> Archaeopteryx</t>
  </si>
  <si>
    <t xml:space="preserve"> Archelon</t>
  </si>
  <si>
    <t xml:space="preserve"> Argentavis</t>
  </si>
  <si>
    <t xml:space="preserve"> Armadoggo</t>
  </si>
  <si>
    <t xml:space="preserve"> Arthropluera</t>
  </si>
  <si>
    <t xml:space="preserve"> Astrocetus</t>
  </si>
  <si>
    <t xml:space="preserve"> Astrodelphis</t>
  </si>
  <si>
    <t xml:space="preserve"> Baryonyx</t>
  </si>
  <si>
    <t xml:space="preserve"> Basilisk</t>
  </si>
  <si>
    <t xml:space="preserve"> Basilosaurus</t>
  </si>
  <si>
    <t xml:space="preserve"> Beelzebufo</t>
  </si>
  <si>
    <t xml:space="preserve"> Bison</t>
  </si>
  <si>
    <t xml:space="preserve"> Bloodstalker</t>
  </si>
  <si>
    <t xml:space="preserve"> Brontosaurus</t>
  </si>
  <si>
    <t xml:space="preserve"> Bulbdog</t>
  </si>
  <si>
    <t xml:space="preserve"> Carbonemys</t>
  </si>
  <si>
    <t xml:space="preserve"> Carcharodontosaurus</t>
  </si>
  <si>
    <t xml:space="preserve"> Carnotaurus</t>
  </si>
  <si>
    <t xml:space="preserve"> Castoroides</t>
  </si>
  <si>
    <t xml:space="preserve"> Cat</t>
  </si>
  <si>
    <t xml:space="preserve"> Ceratosaurus</t>
  </si>
  <si>
    <t xml:space="preserve"> Chalicotherium</t>
  </si>
  <si>
    <t xml:space="preserve"> Cnidaria</t>
  </si>
  <si>
    <t xml:space="preserve"> Coelacanth</t>
  </si>
  <si>
    <t xml:space="preserve"> Compy</t>
  </si>
  <si>
    <t xml:space="preserve"> Cosmo</t>
  </si>
  <si>
    <t xml:space="preserve"> Crystal Wyvern</t>
  </si>
  <si>
    <t xml:space="preserve"> Daeodon</t>
  </si>
  <si>
    <t xml:space="preserve"> Deathworm</t>
  </si>
  <si>
    <t xml:space="preserve"> Deinonychus</t>
  </si>
  <si>
    <t xml:space="preserve"> Desmodus</t>
  </si>
  <si>
    <t xml:space="preserve"> Dilophosaur</t>
  </si>
  <si>
    <t xml:space="preserve"> Dimetrodon</t>
  </si>
  <si>
    <t xml:space="preserve"> Dimorphodon</t>
  </si>
  <si>
    <t xml:space="preserve"> Dinopithecus</t>
  </si>
  <si>
    <t xml:space="preserve"> Diplocaulus</t>
  </si>
  <si>
    <t xml:space="preserve"> Diplodocus</t>
  </si>
  <si>
    <t xml:space="preserve"> Dire Bear</t>
  </si>
  <si>
    <t xml:space="preserve"> Direwolf</t>
  </si>
  <si>
    <t xml:space="preserve"> Dodo</t>
  </si>
  <si>
    <t xml:space="preserve"> Doedicurus</t>
  </si>
  <si>
    <t xml:space="preserve"> Drakeling</t>
  </si>
  <si>
    <t xml:space="preserve"> Dreadmare</t>
  </si>
  <si>
    <t xml:space="preserve"> Dreadnoughtus</t>
  </si>
  <si>
    <t xml:space="preserve"> Dung Beetle</t>
  </si>
  <si>
    <t xml:space="preserve"> Dunkleosteus</t>
  </si>
  <si>
    <t xml:space="preserve"> Electrophorus</t>
  </si>
  <si>
    <t xml:space="preserve"> Equus</t>
  </si>
  <si>
    <t xml:space="preserve"> Fasolasuchus</t>
  </si>
  <si>
    <t xml:space="preserve"> Featherlight</t>
  </si>
  <si>
    <t xml:space="preserve"> Fenrir</t>
  </si>
  <si>
    <t xml:space="preserve"> Ferox</t>
  </si>
  <si>
    <t xml:space="preserve"> Fjordhawk</t>
  </si>
  <si>
    <t xml:space="preserve"> Forest Titan</t>
  </si>
  <si>
    <t xml:space="preserve"> Gacha</t>
  </si>
  <si>
    <t xml:space="preserve"> Gallimimus</t>
  </si>
  <si>
    <t xml:space="preserve"> Gasbags</t>
  </si>
  <si>
    <t xml:space="preserve"> Giganotosaurus</t>
  </si>
  <si>
    <t xml:space="preserve"> Gigantopithecus</t>
  </si>
  <si>
    <t xml:space="preserve"> Gigantoraptor</t>
  </si>
  <si>
    <t xml:space="preserve"> Glowbug</t>
  </si>
  <si>
    <t xml:space="preserve"> Glowtail</t>
  </si>
  <si>
    <t xml:space="preserve"> Griffin</t>
  </si>
  <si>
    <t xml:space="preserve"> Helicoprion</t>
  </si>
  <si>
    <t xml:space="preserve"> Hesperornis</t>
  </si>
  <si>
    <t xml:space="preserve"> Hyaenodon</t>
  </si>
  <si>
    <t xml:space="preserve"> Ichthyornis</t>
  </si>
  <si>
    <t xml:space="preserve"> Ichthyosaurus</t>
  </si>
  <si>
    <t xml:space="preserve"> Iguanodon</t>
  </si>
  <si>
    <t xml:space="preserve"> Jerboa</t>
  </si>
  <si>
    <t xml:space="preserve"> Kairuku</t>
  </si>
  <si>
    <t xml:space="preserve"> Kaprosuchus</t>
  </si>
  <si>
    <t xml:space="preserve"> Karkinos</t>
  </si>
  <si>
    <t xml:space="preserve"> Kentrosaurus</t>
  </si>
  <si>
    <t xml:space="preserve"> Leedsichthys</t>
  </si>
  <si>
    <t xml:space="preserve"> Liopleurodon</t>
  </si>
  <si>
    <t xml:space="preserve"> Lymantria</t>
  </si>
  <si>
    <t xml:space="preserve"> Lystrosaurus</t>
  </si>
  <si>
    <t xml:space="preserve"> Maeguana</t>
  </si>
  <si>
    <t xml:space="preserve"> Maewing</t>
  </si>
  <si>
    <t xml:space="preserve"> Magmasaur</t>
  </si>
  <si>
    <t xml:space="preserve"> Mammoth</t>
  </si>
  <si>
    <t xml:space="preserve"> Managarmr</t>
  </si>
  <si>
    <t xml:space="preserve"> Manta</t>
  </si>
  <si>
    <t xml:space="preserve"> Mantis</t>
  </si>
  <si>
    <t xml:space="preserve"> Megachelon</t>
  </si>
  <si>
    <t xml:space="preserve"> Megalania</t>
  </si>
  <si>
    <t xml:space="preserve"> Megaloceros</t>
  </si>
  <si>
    <t xml:space="preserve"> Megalodon</t>
  </si>
  <si>
    <t xml:space="preserve"> Megalosaurus</t>
  </si>
  <si>
    <t xml:space="preserve"> Megatherium</t>
  </si>
  <si>
    <t xml:space="preserve"> Mesopithecus</t>
  </si>
  <si>
    <t xml:space="preserve"> Microraptor</t>
  </si>
  <si>
    <t xml:space="preserve"> Morellatops</t>
  </si>
  <si>
    <t xml:space="preserve"> Mosasaurus</t>
  </si>
  <si>
    <t xml:space="preserve"> Moschops</t>
  </si>
  <si>
    <t xml:space="preserve"> Nameless</t>
  </si>
  <si>
    <t xml:space="preserve"> Noglin</t>
  </si>
  <si>
    <t xml:space="preserve"> Oasisaur</t>
  </si>
  <si>
    <t xml:space="preserve"> Onyc</t>
  </si>
  <si>
    <t xml:space="preserve"> Otter</t>
  </si>
  <si>
    <t xml:space="preserve"> Oviraptor</t>
  </si>
  <si>
    <t xml:space="preserve"> Ovis</t>
  </si>
  <si>
    <t xml:space="preserve"> Pachy</t>
  </si>
  <si>
    <t xml:space="preserve"> Pachyrhinosaurus</t>
  </si>
  <si>
    <t xml:space="preserve"> Paraceratherium</t>
  </si>
  <si>
    <t xml:space="preserve"> Parasaur</t>
  </si>
  <si>
    <t xml:space="preserve"> Pegomastax</t>
  </si>
  <si>
    <t xml:space="preserve"> Pelagornis</t>
  </si>
  <si>
    <t xml:space="preserve"> Phiomia</t>
  </si>
  <si>
    <t xml:space="preserve"> Phoenix</t>
  </si>
  <si>
    <t xml:space="preserve"> Plesiosaur</t>
  </si>
  <si>
    <t xml:space="preserve"> Procoptodon</t>
  </si>
  <si>
    <t xml:space="preserve"> Pteranodon</t>
  </si>
  <si>
    <t xml:space="preserve"> Pulmonoscorpius</t>
  </si>
  <si>
    <t xml:space="preserve"> Purlovia</t>
  </si>
  <si>
    <t xml:space="preserve"> Pyromane</t>
  </si>
  <si>
    <t xml:space="preserve"> Quetzal</t>
  </si>
  <si>
    <t xml:space="preserve"> Raptor</t>
  </si>
  <si>
    <t xml:space="preserve"> Ravager</t>
  </si>
  <si>
    <t xml:space="preserve"> Reaper</t>
  </si>
  <si>
    <t xml:space="preserve"> Rex</t>
  </si>
  <si>
    <t xml:space="preserve"> Rhyniognatha</t>
  </si>
  <si>
    <t xml:space="preserve"> Rock Drake</t>
  </si>
  <si>
    <t xml:space="preserve"> Rock Elemental</t>
  </si>
  <si>
    <t xml:space="preserve"> Roll Rat</t>
  </si>
  <si>
    <t xml:space="preserve"> Sabertooth</t>
  </si>
  <si>
    <t xml:space="preserve"> Sarco</t>
  </si>
  <si>
    <t xml:space="preserve"> Shadowmane</t>
  </si>
  <si>
    <t xml:space="preserve"> Shastasaurus</t>
  </si>
  <si>
    <t xml:space="preserve"> Shinehorn</t>
  </si>
  <si>
    <t xml:space="preserve"> Sinomacrops</t>
  </si>
  <si>
    <t xml:space="preserve"> Snow Owl</t>
  </si>
  <si>
    <t xml:space="preserve"> Spino</t>
  </si>
  <si>
    <t xml:space="preserve"> Stegosaurus</t>
  </si>
  <si>
    <t xml:space="preserve"> Tapejara</t>
  </si>
  <si>
    <t xml:space="preserve"> Tek Stryder</t>
  </si>
  <si>
    <t xml:space="preserve"> Terror Bird</t>
  </si>
  <si>
    <t xml:space="preserve"> Therizinosaur</t>
  </si>
  <si>
    <t xml:space="preserve"> Thorny Dragon</t>
  </si>
  <si>
    <t xml:space="preserve"> Thylacoleo</t>
  </si>
  <si>
    <t xml:space="preserve"> Titanoboa</t>
  </si>
  <si>
    <t xml:space="preserve"> Titanosaur</t>
  </si>
  <si>
    <t xml:space="preserve"> Triceratops</t>
  </si>
  <si>
    <t xml:space="preserve"> Trilobite</t>
  </si>
  <si>
    <t xml:space="preserve"> Troodon</t>
  </si>
  <si>
    <t xml:space="preserve"> Tropeognathus</t>
  </si>
  <si>
    <t xml:space="preserve"> Tusoteuthis</t>
  </si>
  <si>
    <t xml:space="preserve"> Veilwyn</t>
  </si>
  <si>
    <t xml:space="preserve"> Velonasaur</t>
  </si>
  <si>
    <t xml:space="preserve"> Voidwyrm</t>
  </si>
  <si>
    <t xml:space="preserve"> Vulture</t>
  </si>
  <si>
    <t xml:space="preserve"> Woolly Rhino</t>
  </si>
  <si>
    <t xml:space="preserve"> Wyvern</t>
  </si>
  <si>
    <t xml:space="preserve"> Yi Ling</t>
  </si>
  <si>
    <t xml:space="preserve"> Yutyrannus</t>
  </si>
  <si>
    <t>Melee  Damage</t>
  </si>
  <si>
    <t>Maps</t>
  </si>
  <si>
    <t>Boss</t>
  </si>
  <si>
    <t>Alpha</t>
  </si>
  <si>
    <t>Beta</t>
  </si>
  <si>
    <t>Gamma</t>
  </si>
  <si>
    <t>The Center Alpha</t>
  </si>
  <si>
    <t>The Center Beta</t>
  </si>
  <si>
    <t>The Center Gamma</t>
  </si>
  <si>
    <t>The Island</t>
  </si>
  <si>
    <t>Fjordur</t>
  </si>
  <si>
    <t>The Center</t>
  </si>
  <si>
    <t>Desert Titan</t>
  </si>
  <si>
    <t>Ice Titan</t>
  </si>
  <si>
    <t>Overseer Gamma</t>
  </si>
  <si>
    <t>Overseer Beta</t>
  </si>
  <si>
    <t>Overseer Alpha</t>
  </si>
  <si>
    <t>Beyla</t>
  </si>
  <si>
    <t>Broodmother Gamma</t>
  </si>
  <si>
    <t>Broodmother Beta</t>
  </si>
  <si>
    <t>Broodmother Alpha</t>
  </si>
  <si>
    <t>Genesis Part 1</t>
  </si>
  <si>
    <t>Crystal Isles</t>
  </si>
  <si>
    <t>Extinction</t>
  </si>
  <si>
    <t>Lost Island</t>
  </si>
  <si>
    <t>Dragon Alpha</t>
  </si>
  <si>
    <t>Dragon Gamma</t>
  </si>
  <si>
    <t>Dragon Beta</t>
  </si>
  <si>
    <t>Hati and Sköll</t>
  </si>
  <si>
    <t>Scorched Earth</t>
  </si>
  <si>
    <t>Megapithecus Alpha</t>
  </si>
  <si>
    <t>Megapithecus Beta</t>
  </si>
  <si>
    <t>Megapithecus Gamma</t>
  </si>
  <si>
    <t>Abberation</t>
  </si>
  <si>
    <t>Steinbjörn</t>
  </si>
  <si>
    <t>Forest Titan</t>
  </si>
  <si>
    <t xml:space="preserve"> Attack Drone </t>
  </si>
  <si>
    <t xml:space="preserve"> Beyla </t>
  </si>
  <si>
    <t xml:space="preserve"> Broodmother Lysrix </t>
  </si>
  <si>
    <t xml:space="preserve"> Corrupted Master Controller </t>
  </si>
  <si>
    <t xml:space="preserve"> Crystal Wyvern Queen </t>
  </si>
  <si>
    <t xml:space="preserve"> Defense Unit </t>
  </si>
  <si>
    <t xml:space="preserve"> Desert Titan Flock </t>
  </si>
  <si>
    <t xml:space="preserve"> Desert Titan </t>
  </si>
  <si>
    <t xml:space="preserve"> Dinopithecus King </t>
  </si>
  <si>
    <t xml:space="preserve"> Dragon </t>
  </si>
  <si>
    <t xml:space="preserve"> Fenrisúlfr </t>
  </si>
  <si>
    <t xml:space="preserve">Sköll </t>
  </si>
  <si>
    <t xml:space="preserve"> Hati </t>
  </si>
  <si>
    <t xml:space="preserve"> Ice Titan </t>
  </si>
  <si>
    <t xml:space="preserve"> King Titan </t>
  </si>
  <si>
    <t xml:space="preserve"> Manticore </t>
  </si>
  <si>
    <t xml:space="preserve"> Megapithecus </t>
  </si>
  <si>
    <t xml:space="preserve"> Moeder, Master of the Ocean </t>
  </si>
  <si>
    <t xml:space="preserve"> Overseer </t>
  </si>
  <si>
    <t xml:space="preserve"> Rockwell </t>
  </si>
  <si>
    <t xml:space="preserve"> Steinbjörn </t>
  </si>
  <si>
    <t/>
  </si>
  <si>
    <t>Base</t>
  </si>
  <si>
    <t>+Wild</t>
  </si>
  <si>
    <t>+Tame</t>
  </si>
  <si>
    <t>Column1</t>
  </si>
  <si>
    <t>aberration</t>
  </si>
  <si>
    <t>astraeos</t>
  </si>
  <si>
    <t>crystal-isles</t>
  </si>
  <si>
    <t>extinction</t>
  </si>
  <si>
    <t>fjordur</t>
  </si>
  <si>
    <t>genesis-2</t>
  </si>
  <si>
    <t>genesis</t>
  </si>
  <si>
    <t>lost-island</t>
  </si>
  <si>
    <t>ragnarok</t>
  </si>
  <si>
    <t>scorched-earth</t>
  </si>
  <si>
    <t>the-center</t>
  </si>
  <si>
    <t>the-island</t>
  </si>
  <si>
    <t>valguero</t>
  </si>
  <si>
    <t>Aberrant Achatina</t>
  </si>
  <si>
    <t>Aberration</t>
  </si>
  <si>
    <t>Aberrant Anglerfish</t>
  </si>
  <si>
    <t>Valguero</t>
  </si>
  <si>
    <t>Aberrant Ankylosaurus</t>
  </si>
  <si>
    <t>Aberrant Araneo</t>
  </si>
  <si>
    <t>Aberrant Arthropluera</t>
  </si>
  <si>
    <t>Aberrant Baryonyx</t>
  </si>
  <si>
    <t>Aberrant Beelzebufo</t>
  </si>
  <si>
    <t>Aberrant Carbonemys</t>
  </si>
  <si>
    <t>Astraeos</t>
  </si>
  <si>
    <t>Aberrant Carnotaurus</t>
  </si>
  <si>
    <t>Aberrant Cnidaria</t>
  </si>
  <si>
    <t>Aberrant Coelacanth</t>
  </si>
  <si>
    <t>Aberrant Dimetrodon</t>
  </si>
  <si>
    <t>Aberrant Dimorphodon</t>
  </si>
  <si>
    <t>Aberrant Diplocaulus</t>
  </si>
  <si>
    <t>Aberrant Diplodocus</t>
  </si>
  <si>
    <t>Aberrant Dire Bear</t>
  </si>
  <si>
    <t>Aberrant Dodo</t>
  </si>
  <si>
    <t>Ragnarok</t>
  </si>
  <si>
    <t>Aberrant Doedicurus</t>
  </si>
  <si>
    <t>Aberrant Dung Beetle</t>
  </si>
  <si>
    <t>Aberrant Electrophorus</t>
  </si>
  <si>
    <t>Aberrant Equus</t>
  </si>
  <si>
    <t>Aberrant Fasolasuchus</t>
  </si>
  <si>
    <t>Aberrant Gigantopithecus</t>
  </si>
  <si>
    <t>Aberrant Gigantoraptor</t>
  </si>
  <si>
    <t>Aberrant Iguanodon</t>
  </si>
  <si>
    <t>Aberrant Lystrosaurus</t>
  </si>
  <si>
    <t>Aberrant Manta</t>
  </si>
  <si>
    <t>Aberrant Megalania</t>
  </si>
  <si>
    <t>Aberrant Megalosaurus</t>
  </si>
  <si>
    <t>Aberrant Meganeura</t>
  </si>
  <si>
    <t>Aberrant Moschops</t>
  </si>
  <si>
    <t>Aberrant Otter</t>
  </si>
  <si>
    <t>Aberrant Oviraptor</t>
  </si>
  <si>
    <t>Aberrant Ovis</t>
  </si>
  <si>
    <t>Aberrant Paraceratherium</t>
  </si>
  <si>
    <t>Aberrant Parasaur</t>
  </si>
  <si>
    <t>Aberrant Piranha</t>
  </si>
  <si>
    <t>Aberrant Pulmonoscorpius</t>
  </si>
  <si>
    <t>Aberrant Purlovia</t>
  </si>
  <si>
    <t>Aberrant Raptor</t>
  </si>
  <si>
    <t>Aberrant Salmon</t>
  </si>
  <si>
    <t>Aberrant Sarco</t>
  </si>
  <si>
    <t>Aberrant Spino</t>
  </si>
  <si>
    <t>Aberrant Stegosaurus</t>
  </si>
  <si>
    <t>Aberrant Titanoboa</t>
  </si>
  <si>
    <t>Aberrant Triceratops</t>
  </si>
  <si>
    <t>Aberrant Trilobite</t>
  </si>
  <si>
    <t>Achatina</t>
  </si>
  <si>
    <t>Genesis 2</t>
  </si>
  <si>
    <t>Allosaurus</t>
  </si>
  <si>
    <t xml:space="preserve">Allosaurus </t>
  </si>
  <si>
    <t>Alpha Leedsichthys</t>
  </si>
  <si>
    <t>Alpha Megalodon</t>
  </si>
  <si>
    <t>Alpha Mosasaur</t>
  </si>
  <si>
    <t>Alpha Tusoteuthis</t>
  </si>
  <si>
    <t>Amargasaurus</t>
  </si>
  <si>
    <t>Ammonite</t>
  </si>
  <si>
    <t>Genesis</t>
  </si>
  <si>
    <t>Andrewsarchus</t>
  </si>
  <si>
    <t>Anglerfish</t>
  </si>
  <si>
    <t>Ankylosaurus</t>
  </si>
  <si>
    <t>Araneo</t>
  </si>
  <si>
    <t>Archaeopteryx</t>
  </si>
  <si>
    <t>Archelon</t>
  </si>
  <si>
    <t>Argentavis</t>
  </si>
  <si>
    <t>Armadoggo</t>
  </si>
  <si>
    <t>Arthropluera</t>
  </si>
  <si>
    <t>Astrocetus</t>
  </si>
  <si>
    <t>Astrodelphis</t>
  </si>
  <si>
    <t>Attack Drone</t>
  </si>
  <si>
    <t>Autumn Drakeling</t>
  </si>
  <si>
    <t>Baryonyx</t>
  </si>
  <si>
    <t>Basilisk</t>
  </si>
  <si>
    <t>Basilosaurus</t>
  </si>
  <si>
    <t>Beelzebufo</t>
  </si>
  <si>
    <t>Bison</t>
  </si>
  <si>
    <t>Blood Crystal Wyvern</t>
  </si>
  <si>
    <t>Bloodstalker</t>
  </si>
  <si>
    <t>Bronto</t>
  </si>
  <si>
    <t>Brontosaurus</t>
  </si>
  <si>
    <t>Broodmother Lysrix</t>
  </si>
  <si>
    <t>Bulbdog</t>
  </si>
  <si>
    <t>Bunny Oviraptor</t>
  </si>
  <si>
    <t>Carbonemys</t>
  </si>
  <si>
    <t>Carcharodontosaurus</t>
  </si>
  <si>
    <t>Carnotaurus</t>
  </si>
  <si>
    <t>Castoroides</t>
  </si>
  <si>
    <t>Cat</t>
  </si>
  <si>
    <t>Cave Minotaur</t>
  </si>
  <si>
    <t>Ceratosaurus</t>
  </si>
  <si>
    <t>Chalicotherium</t>
  </si>
  <si>
    <t>Chalk Elemental</t>
  </si>
  <si>
    <t>Cnidaria</t>
  </si>
  <si>
    <t>Coelacanth</t>
  </si>
  <si>
    <t>Compy</t>
  </si>
  <si>
    <t>Corrupted Arthropluera</t>
  </si>
  <si>
    <t>Corrupted Carnotaurus</t>
  </si>
  <si>
    <t>Corrupted Chalicotherium</t>
  </si>
  <si>
    <t>Corrupted Dilophosaur</t>
  </si>
  <si>
    <t>Corrupted Giganotosaurus</t>
  </si>
  <si>
    <t>Corrupted Paraceratherium</t>
  </si>
  <si>
    <t>Corrupted Pteranodon</t>
  </si>
  <si>
    <t>Corrupted Raptor</t>
  </si>
  <si>
    <t>Corrupted Reaper King</t>
  </si>
  <si>
    <t>Corrupted Rex</t>
  </si>
  <si>
    <t>Corrupted Rock Drake</t>
  </si>
  <si>
    <t>Corrupted Spino</t>
  </si>
  <si>
    <t>Corrupted Stegosaurus</t>
  </si>
  <si>
    <t>Corrupted Triceratops</t>
  </si>
  <si>
    <t>Corrupted Wyvern</t>
  </si>
  <si>
    <t>Cosmo</t>
  </si>
  <si>
    <t>Daeodon</t>
  </si>
  <si>
    <t>Deathworm</t>
  </si>
  <si>
    <t>Defense Unit</t>
  </si>
  <si>
    <t>Deinonychus</t>
  </si>
  <si>
    <t>Deinosuchus</t>
  </si>
  <si>
    <t>Deinotherium</t>
  </si>
  <si>
    <t>Desmodus</t>
  </si>
  <si>
    <t>Dilophosaur</t>
  </si>
  <si>
    <t>Dimetrodon</t>
  </si>
  <si>
    <t>Dimorphodon</t>
  </si>
  <si>
    <t>Dinopithecus</t>
  </si>
  <si>
    <t>Diplocaulus</t>
  </si>
  <si>
    <t>Diplodocus</t>
  </si>
  <si>
    <t>Dire Bear</t>
  </si>
  <si>
    <t>Dire Polar Bear</t>
  </si>
  <si>
    <t>Direwolf</t>
  </si>
  <si>
    <t>Diseased Leech</t>
  </si>
  <si>
    <t>Dodo</t>
  </si>
  <si>
    <t>Doedicurus</t>
  </si>
  <si>
    <t>Dreadmare</t>
  </si>
  <si>
    <t>Dreadnoughtus</t>
  </si>
  <si>
    <t>Dung Beetle</t>
  </si>
  <si>
    <t>Dunkleosteus</t>
  </si>
  <si>
    <t>Elderclaw</t>
  </si>
  <si>
    <t>Electrophorus</t>
  </si>
  <si>
    <t>Ember Crystal Wyvern</t>
  </si>
  <si>
    <t>Enforcer</t>
  </si>
  <si>
    <t>Equus</t>
  </si>
  <si>
    <t>Eurypterid</t>
  </si>
  <si>
    <t>Fasolasuchus</t>
  </si>
  <si>
    <t>Featherlight</t>
  </si>
  <si>
    <t>Ferox</t>
  </si>
  <si>
    <t>Fire Wyvern</t>
  </si>
  <si>
    <t>Fjordhawk</t>
  </si>
  <si>
    <t>Forest Wyvern</t>
  </si>
  <si>
    <t>Gacha</t>
  </si>
  <si>
    <t>Gallimimus</t>
  </si>
  <si>
    <t>Gasbags</t>
  </si>
  <si>
    <t>Giant Queen Bee</t>
  </si>
  <si>
    <t>Giant Worker Bee</t>
  </si>
  <si>
    <t>Giganotosaurus</t>
  </si>
  <si>
    <t>Gigantopithecus</t>
  </si>
  <si>
    <t>Gigantoraptor</t>
  </si>
  <si>
    <t>Glowbug</t>
  </si>
  <si>
    <t>Glowtail</t>
  </si>
  <si>
    <t>Griffin</t>
  </si>
  <si>
    <t>Helicoprion</t>
  </si>
  <si>
    <t>Hesperornis</t>
  </si>
  <si>
    <t>Hyaenodon</t>
  </si>
  <si>
    <t xml:space="preserve">Hyaenodon </t>
  </si>
  <si>
    <t>Ice Elemental</t>
  </si>
  <si>
    <t>Ice Wyvern</t>
  </si>
  <si>
    <t>Iceworm Male</t>
  </si>
  <si>
    <t>Ichthyornis</t>
  </si>
  <si>
    <t>Ichthyosaurus</t>
  </si>
  <si>
    <t>Iguanodon</t>
  </si>
  <si>
    <t>Insect Swarm</t>
  </si>
  <si>
    <t>Jerboa</t>
  </si>
  <si>
    <t>Kairuku</t>
  </si>
  <si>
    <t>Kaprosuchus</t>
  </si>
  <si>
    <t>Karkinos</t>
  </si>
  <si>
    <t>Kentrosaurus</t>
  </si>
  <si>
    <t>King Titan</t>
  </si>
  <si>
    <t>Kirayli</t>
  </si>
  <si>
    <t>Lamprey</t>
  </si>
  <si>
    <t>Leech</t>
  </si>
  <si>
    <t>Leedsichthys</t>
  </si>
  <si>
    <t>Light Bug</t>
  </si>
  <si>
    <t>Lightning Wyvern</t>
  </si>
  <si>
    <t>Liopleurodon</t>
  </si>
  <si>
    <t>Lymantria</t>
  </si>
  <si>
    <t>Lystrosaurus</t>
  </si>
  <si>
    <t>Macrophage</t>
  </si>
  <si>
    <t>Maeguana</t>
  </si>
  <si>
    <t>Maewing</t>
  </si>
  <si>
    <t>Magmasaur</t>
  </si>
  <si>
    <t>Mammoth</t>
  </si>
  <si>
    <t>Managarmr</t>
  </si>
  <si>
    <t>Manta</t>
  </si>
  <si>
    <t>Mantis</t>
  </si>
  <si>
    <t>Megachelon</t>
  </si>
  <si>
    <t>Megalania</t>
  </si>
  <si>
    <t>Megaloceros</t>
  </si>
  <si>
    <t>Megalodon</t>
  </si>
  <si>
    <t>Megalosaurus</t>
  </si>
  <si>
    <t>Meganeura</t>
  </si>
  <si>
    <t>Megaraptor</t>
  </si>
  <si>
    <t>Megatherium</t>
  </si>
  <si>
    <t>Mesopithecus</t>
  </si>
  <si>
    <t>Microraptor</t>
  </si>
  <si>
    <t>Morellatops</t>
  </si>
  <si>
    <t>Mosasaur</t>
  </si>
  <si>
    <t>Mosasaurus</t>
  </si>
  <si>
    <t>Moschops</t>
  </si>
  <si>
    <t>Nameless</t>
  </si>
  <si>
    <t>Noglin</t>
  </si>
  <si>
    <t>Oasisaur</t>
  </si>
  <si>
    <t>Oil Jug Bug</t>
  </si>
  <si>
    <t>Onyc</t>
  </si>
  <si>
    <t>Otter</t>
  </si>
  <si>
    <t>Oviraptor</t>
  </si>
  <si>
    <t>Ovis</t>
  </si>
  <si>
    <t>Pachy</t>
  </si>
  <si>
    <t>Pachyrhinosaurus</t>
  </si>
  <si>
    <t>Paraceratherium</t>
  </si>
  <si>
    <t>Parakeet Fish School</t>
  </si>
  <si>
    <t>Parasaur</t>
  </si>
  <si>
    <t>Pegomastax</t>
  </si>
  <si>
    <t>Pelagornis</t>
  </si>
  <si>
    <t>Phiomia</t>
  </si>
  <si>
    <t>Phoenix</t>
  </si>
  <si>
    <t>Piranha</t>
  </si>
  <si>
    <t>Plesiosaur</t>
  </si>
  <si>
    <t>Poison Wyvern</t>
  </si>
  <si>
    <t>Polar Bear</t>
  </si>
  <si>
    <t>Procoptodon</t>
  </si>
  <si>
    <t>Pteranodon</t>
  </si>
  <si>
    <t>Pulmonoscorpius</t>
  </si>
  <si>
    <t>Purlovia</t>
  </si>
  <si>
    <t>Pyromane</t>
  </si>
  <si>
    <t>Quetzal</t>
  </si>
  <si>
    <t xml:space="preserve">R-Allosaurus </t>
  </si>
  <si>
    <t>R-Brontosaurus</t>
  </si>
  <si>
    <t>R-Carbonemys</t>
  </si>
  <si>
    <t>R-Carnotaurus</t>
  </si>
  <si>
    <t>R-Daeodon</t>
  </si>
  <si>
    <t>R-Dilophosaur</t>
  </si>
  <si>
    <t>R-Direwolf</t>
  </si>
  <si>
    <t>R-Equus</t>
  </si>
  <si>
    <t>R-Gasbags</t>
  </si>
  <si>
    <t>R-Giganotosaurus</t>
  </si>
  <si>
    <t>R-Megatherium</t>
  </si>
  <si>
    <t>R-Parasaur</t>
  </si>
  <si>
    <t>R-Procoptodon</t>
  </si>
  <si>
    <t>R-Quetzal</t>
  </si>
  <si>
    <t>R-Reaper King</t>
  </si>
  <si>
    <t>R-Reaper Queen</t>
  </si>
  <si>
    <t>R-Snow Owl</t>
  </si>
  <si>
    <t>R-Thylacoleo</t>
  </si>
  <si>
    <t>R-Velonasaur</t>
  </si>
  <si>
    <t>Raptor</t>
  </si>
  <si>
    <t>Ravager</t>
  </si>
  <si>
    <t>Reaper Queen</t>
  </si>
  <si>
    <t>Rex</t>
  </si>
  <si>
    <t>Rhyniognatha</t>
  </si>
  <si>
    <t>Rock Drake</t>
  </si>
  <si>
    <t>Rock Elemental</t>
  </si>
  <si>
    <t>Roll Rat</t>
  </si>
  <si>
    <t>Rubble Golem</t>
  </si>
  <si>
    <t>Sabertooth</t>
  </si>
  <si>
    <t>Sabertooth Salmon</t>
  </si>
  <si>
    <t>Sarco</t>
  </si>
  <si>
    <t>Scout</t>
  </si>
  <si>
    <t>Seeker</t>
  </si>
  <si>
    <t>Shadowmane</t>
  </si>
  <si>
    <t>Shastasaurus</t>
  </si>
  <si>
    <t>Shinehorn</t>
  </si>
  <si>
    <t>Sinomacrops</t>
  </si>
  <si>
    <t>Skeletal Bronto</t>
  </si>
  <si>
    <t>Skeletal Quetzal</t>
  </si>
  <si>
    <t>Snow Owl</t>
  </si>
  <si>
    <t>Spino</t>
  </si>
  <si>
    <t>Spring Drakeling</t>
  </si>
  <si>
    <t>Stegosaurus</t>
  </si>
  <si>
    <t>Summer Drakeling</t>
  </si>
  <si>
    <t>Summoner</t>
  </si>
  <si>
    <t>Surface Reaper King</t>
  </si>
  <si>
    <t>Tapejara</t>
  </si>
  <si>
    <t>Tek Parasaur</t>
  </si>
  <si>
    <t>Tek Raptor</t>
  </si>
  <si>
    <t>Tek Rex</t>
  </si>
  <si>
    <t>Tek Stegosaurus</t>
  </si>
  <si>
    <t>Tek Stryder</t>
  </si>
  <si>
    <t>Tek Triceratops</t>
  </si>
  <si>
    <t>Terror Bird</t>
  </si>
  <si>
    <t>Thanatos</t>
  </si>
  <si>
    <t>Therizinosaur</t>
  </si>
  <si>
    <t>Thorny Dragon</t>
  </si>
  <si>
    <t>Thylacoleo</t>
  </si>
  <si>
    <t>Titanoboa</t>
  </si>
  <si>
    <t>Titanomyrma Drone</t>
  </si>
  <si>
    <t>Titanomyrma Soldier</t>
  </si>
  <si>
    <t>Titanosaur</t>
  </si>
  <si>
    <t>Triceratops</t>
  </si>
  <si>
    <t>Trilobite</t>
  </si>
  <si>
    <t>Troodon</t>
  </si>
  <si>
    <t>Tropeognathus</t>
  </si>
  <si>
    <t>Tropical Crystal Wyvern</t>
  </si>
  <si>
    <t>Tusoteuthis</t>
  </si>
  <si>
    <t>Unicorn</t>
  </si>
  <si>
    <t>Veilwyn</t>
  </si>
  <si>
    <t>Velonasaur</t>
  </si>
  <si>
    <t>Voidwyrm</t>
  </si>
  <si>
    <t>Vulture</t>
  </si>
  <si>
    <t>Water Jug Bug</t>
  </si>
  <si>
    <t>Winter Drakeling</t>
  </si>
  <si>
    <t>Woolly Rhino</t>
  </si>
  <si>
    <t>X-Allosaurus</t>
  </si>
  <si>
    <t>X-Ankylosaurus</t>
  </si>
  <si>
    <t>X-Argentavis</t>
  </si>
  <si>
    <t>X-Basilosaurus</t>
  </si>
  <si>
    <t>X-Dunkleosteus</t>
  </si>
  <si>
    <t>X-Ichthyosaurus</t>
  </si>
  <si>
    <t>X-Megalodon</t>
  </si>
  <si>
    <t>X-Mosasaurus</t>
  </si>
  <si>
    <t>X-Otter</t>
  </si>
  <si>
    <t>X-Paraceratherium</t>
  </si>
  <si>
    <t>X-Parasaur</t>
  </si>
  <si>
    <t>X-Raptor</t>
  </si>
  <si>
    <t>X-Rex</t>
  </si>
  <si>
    <t>X-Rock Elemental</t>
  </si>
  <si>
    <t>X-Sabertooth</t>
  </si>
  <si>
    <t>X-Sabertooth Salmon</t>
  </si>
  <si>
    <t>X-Spino</t>
  </si>
  <si>
    <t>X-Tapejara</t>
  </si>
  <si>
    <t>X-Triceratops</t>
  </si>
  <si>
    <t>X-Woolly Rhino</t>
  </si>
  <si>
    <t>X-Yutyrannus</t>
  </si>
  <si>
    <t>Xiphactinus</t>
  </si>
  <si>
    <t>Yeti</t>
  </si>
  <si>
    <t>Yi Ling</t>
  </si>
  <si>
    <t>Yutyrannus</t>
  </si>
  <si>
    <t>Zusammengeführt</t>
  </si>
  <si>
    <t>Aberration, Fjordur</t>
  </si>
  <si>
    <t>Aberration, Crystal Isles, Valguero</t>
  </si>
  <si>
    <t>Aberration, Valguero</t>
  </si>
  <si>
    <t>Aberration, Crystal Isles, Fjordur, Lost Island</t>
  </si>
  <si>
    <t>Aberration, Astraeos, Fjordur, Valguero</t>
  </si>
  <si>
    <t>Aberration, Astraeos, Crystal Isles, Fjordur, Lost Island, Valguero</t>
  </si>
  <si>
    <t>Aberration, Astraeos, Crystal Isles</t>
  </si>
  <si>
    <t>Aberration, Astraeos, Crystal Isles, Fjordur</t>
  </si>
  <si>
    <t>Aberration, Astraeos, Fjordur, Ragnarok, Valguero</t>
  </si>
  <si>
    <t>Aberration, Crystal Isles, Fjordur</t>
  </si>
  <si>
    <t>Aberration, Astraeos, Crystal Isles, Valguero</t>
  </si>
  <si>
    <t>Aberration, Astraeos</t>
  </si>
  <si>
    <t>Aberration, Crystal Isles</t>
  </si>
  <si>
    <t>Aberration, Fjordur, Ragnarok</t>
  </si>
  <si>
    <t>Aberration, Astraeos, Fjordur, Lost Island, Valguero</t>
  </si>
  <si>
    <t>Aberration, Astraeos, Crystal Isles, Fjordur, Valguero</t>
  </si>
  <si>
    <t>Aberration, Crystal Isles, Fjordur, Valguero</t>
  </si>
  <si>
    <t>Aberration, Fjordur, Valguero</t>
  </si>
  <si>
    <t>Astraeos, Crystal Isles, Extinction, Fjordur, Genesis 2, Lost Island, Ragnarok, Scorched Earth, The Center, The Island, Valguero</t>
  </si>
  <si>
    <t>Astraeos, Crystal Isles, Extinction, Fjordur, Genesis 2, Lost Island, Ragnarok, The Center, The Island, Valguero</t>
  </si>
  <si>
    <t>The Center, The Island</t>
  </si>
  <si>
    <t>Astraeos, Crystal Isles, Fjordur, Genesis 2, Genesis, Lost Island, Ragnarok, The Center, The Island, Valguero</t>
  </si>
  <si>
    <t>Astraeos, Crystal Isles, Extinction, Fjordur, Genesis 2, Genesis, Lost Island, Ragnarok, Scorched Earth, The Center, The Island, Valguero</t>
  </si>
  <si>
    <t>Crystal Isles, Extinction, Fjordur, Genesis, Lost Island, Ragnarok, Scorched Earth, The Center, The Island, Valguero</t>
  </si>
  <si>
    <t>Astraeos, Ragnarok, The Center, The Island, Valguero</t>
  </si>
  <si>
    <t>Genesis 2, Genesis</t>
  </si>
  <si>
    <t>Ragnarok, Valguero</t>
  </si>
  <si>
    <t>Astraeos, Crystal Isles, Extinction, Fjordur, Genesis 2, Genesis, Lost Island, Ragnarok, The Center, The Island, Valguero</t>
  </si>
  <si>
    <t>Aberration, Crystal Isles, Fjordur, Genesis 2, Genesis, Lost Island, Valguero</t>
  </si>
  <si>
    <t>Crystal Isles, Fjordur, Genesis 2, Lost Island, Ragnarok, The Center, The Island, Valguero</t>
  </si>
  <si>
    <t>Aberration, Astraeos, Fjordur, Genesis 2, Genesis, Valguero</t>
  </si>
  <si>
    <t>Astraeos, Extinction, Ragnarok, Scorched Earth, The Center, The Island, Valguero</t>
  </si>
  <si>
    <t>Astraeos, Ragnarok, Valguero</t>
  </si>
  <si>
    <t>Astraeos, Extinction</t>
  </si>
  <si>
    <t>Aberration, Astraeos, Extinction</t>
  </si>
  <si>
    <t>Aberration, Astraeos, Valguero</t>
  </si>
  <si>
    <t>Lost Island, Scorched Earth</t>
  </si>
  <si>
    <t>Extinction, Genesis 2, Genesis</t>
  </si>
  <si>
    <t>Fjordur, Valguero</t>
  </si>
  <si>
    <t>Crystal Isles, Lost Island</t>
  </si>
  <si>
    <t>Astraeos, Crystal Isles, Extinction, Fjordur, Genesis, Lost Island, Ragnarok, Scorched Earth, The Center, The Island, Valguero</t>
  </si>
  <si>
    <t>Crystal Isles, Fjordur, Genesis 2, Lost Island, The Center, The Island</t>
  </si>
  <si>
    <t>Astraeos, Extinction, Ragnarok, Scorched Earth, The Center, Valguero</t>
  </si>
  <si>
    <t>Astraeos, Crystal Isles, Fjordur, Genesis 2, Lost Island, Ragnarok, The Center, The Island, Valguero</t>
  </si>
  <si>
    <t>Astraeos, Crystal Isles, Fjordur, Genesis 2, Genesis, Lost Island, Ragnarok, Scorched Earth, The Center, The Island, Valguero</t>
  </si>
  <si>
    <t>Extinction, Genesis 2</t>
  </si>
  <si>
    <t>Astraeos, Scorched Earth</t>
  </si>
  <si>
    <t>Aberration, Crystal Isles, Fjordur, Genesis 2, Genesis, Ragnarok, Valguero</t>
  </si>
  <si>
    <t>Fjordur, Genesis 2, Genesis, Lost Island, Scorched Earth</t>
  </si>
  <si>
    <t>Crystal Isles, Fjordur, Lost Island, Scorched Earth, Valguero</t>
  </si>
  <si>
    <t>Astraeos, Extinction, Fjordur, Genesis 2</t>
  </si>
  <si>
    <t>Astraeos, Extinction, Fjordur, Genesis</t>
  </si>
  <si>
    <t>Aberration, Astraeos, Crystal Isles, Extinction, Fjordur, Genesis 2, Genesis, Lost Island, Ragnarok, Scorched Earth, The Center, The Island, Valguero</t>
  </si>
  <si>
    <t>Astraeos, Crystal Isles, Fjordur, Genesis, Lost Island, Ragnarok, The Center, The Island, Valguero</t>
  </si>
  <si>
    <t>Astraeos, Extinction, The Center, The Island, Valguero</t>
  </si>
  <si>
    <t>Crystal Isles, Fjordur, Genesis 2, Genesis</t>
  </si>
  <si>
    <t>Aberration, Crystal Isles, Fjordur, Genesis 2, Lost Island, Valguero</t>
  </si>
  <si>
    <t>Crystal Isles, Fjordur, Lost Island, Ragnarok</t>
  </si>
  <si>
    <t>Crystal Isles, Extinction, Fjordur, Genesis 2, Lost Island, Scorched Earth, The Center, The Island</t>
  </si>
  <si>
    <t>Fjordur, Lost Island, Ragnarok, Valguero</t>
  </si>
  <si>
    <t>Crystal Isles, Genesis 2, Lost Island, Ragnarok, Scorched Earth, Valguero</t>
  </si>
  <si>
    <t>Astraeos, Crystal Isles, Extinction, Fjordur, Genesis, Lost Island, Ragnarok, The Center, The Island, Valguero</t>
  </si>
  <si>
    <t>Aberration, Astraeos, Crystal Isles, Fjordur, Genesis 2, Genesis, Ragnarok, Valguero</t>
  </si>
  <si>
    <t>Aberration, Crystal Isles, Fjordur, Genesis 2, Genesis, Valguero</t>
  </si>
  <si>
    <t>Crystal Isles, Fjordur, Genesis 2, Genesis, Lost Island, The Center, The Island, Valguero</t>
  </si>
  <si>
    <t>Aberration, Astraeos, Ragnarok, Valguero</t>
  </si>
  <si>
    <t>Fjordur, Lost Island, Scorched Earth</t>
  </si>
  <si>
    <t>Crystal Isles, Extinction, Genesis 2, Lost Island, Scorched Earth</t>
  </si>
  <si>
    <t>Fjordur, Genesis 2, Lost Island</t>
  </si>
  <si>
    <t>Fjordur, Genesis, Lost Island</t>
  </si>
  <si>
    <t>Astraeos, Extinction, Genesis 2, Lost Island</t>
  </si>
  <si>
    <t>Astraeos, Crystal Isles, Extinction, Fjordur, Genesis 2, Lost Island, Scorched Earth, Valguero</t>
  </si>
  <si>
    <t>Astraeos, Crystal Isles, Extinction, Fjordur, Lost Island, Ragnarok, Scorched Earth, The Center, The Island</t>
  </si>
  <si>
    <t>Astraeos, Crystal Isles, Extinction, Lost Island, Ragnarok, Scorched Earth</t>
  </si>
  <si>
    <t>Astraeos, Crystal Isles, Fjordur, Genesis 2, Genesis, Lost Island, Scorched Earth</t>
  </si>
  <si>
    <t>Fjordur, Genesis 2, Genesis, Lost Island</t>
  </si>
  <si>
    <t>Crystal Isles, Fjordur, Genesis 2, Genesis, Lost Island, Ragnarok, The Center, The Island</t>
  </si>
  <si>
    <t>Fjordur, Lost Island, Ragnarok, Scorched Earth</t>
  </si>
  <si>
    <t>Astraeos, Crystal Isles, Extinction, Fjordur, Genesis, The Island, Valguero</t>
  </si>
  <si>
    <t>Aberration, Astraeos, Scorched Earth, The Center, Valguero</t>
  </si>
  <si>
    <t>Fjordur, Genesis 2</t>
  </si>
  <si>
    <t>Genesis 2, Lost Island</t>
  </si>
  <si>
    <t>Aberration, Astraeos, Crystal Isles, Fjordur, Genesis 2, Genesis, Lost Island, Valguero</t>
  </si>
  <si>
    <t>Astraeos, Lost Island, The Island, Valguero</t>
  </si>
  <si>
    <t>Astraeos, Crystal Isles, Extinction, Genesis 2, Genesis, Lost Island, Ragnarok, Scorched Earth</t>
  </si>
  <si>
    <t>Astraeos, Extinction, Scorched Earth</t>
  </si>
  <si>
    <t>Astraeos, The Center</t>
  </si>
  <si>
    <t>Aberration, Fjordur, Genesis 2, Genesis, Ragnarok, Valguero</t>
  </si>
  <si>
    <t>Astraeos, Extinction, Fjordur, Lost Island</t>
  </si>
  <si>
    <t>Aberration, Genesis</t>
  </si>
  <si>
    <t>Astraeos, Crystal Isles, Extinction, Fjordur, Genesis 2, Genesis, Lost Island, Scorched Earth</t>
  </si>
  <si>
    <t>Crystal Isles, Extinction, Fjordur, Genesis 2, Genesis, Lost Island, Scorched Earth, The Center, The Island</t>
  </si>
  <si>
    <t>Crystal Isles, Fjordur, Ragnarok, Scorched Earth, The Center, The Island</t>
  </si>
  <si>
    <t>Crystal Isles, Fjordur</t>
  </si>
  <si>
    <t>Astraeos, Crystal Isles, Fjordur, Lost Island, Ragnarok, The Island, Valguero</t>
  </si>
  <si>
    <t>Astraeos, Extinction, Fjordur</t>
  </si>
  <si>
    <t>Astraeos, Crystal Isles, Fjordur, Genesis 2, Lost Island, Ragnarok, Scorched Earth</t>
  </si>
  <si>
    <t>Fjordur, Genesis</t>
  </si>
  <si>
    <t>Astraeos, Crystal Isles, Extinction, Fjordur, The Center, The Island, Valguero</t>
  </si>
  <si>
    <t>Varianten</t>
  </si>
  <si>
    <t>Astraeos, Extinction, Ragnarok, The Center, Valguero</t>
  </si>
  <si>
    <t xml:space="preserve"> Giant Queen Bee</t>
  </si>
  <si>
    <t>Astraeos, Fjordur, Lost Island, Scorched Earth, Valguero</t>
  </si>
  <si>
    <t>Fire</t>
  </si>
  <si>
    <t>Lightning</t>
  </si>
  <si>
    <t>Poison</t>
  </si>
  <si>
    <t>Spring</t>
  </si>
  <si>
    <t>Summer</t>
  </si>
  <si>
    <t>Autumn</t>
  </si>
  <si>
    <t>Winter</t>
  </si>
  <si>
    <t>Tropical</t>
  </si>
  <si>
    <t>Ember</t>
  </si>
  <si>
    <t>Blood</t>
  </si>
  <si>
    <t>Level 1</t>
  </si>
  <si>
    <t>Level 150</t>
  </si>
  <si>
    <t>basic</t>
  </si>
  <si>
    <t>simple</t>
  </si>
  <si>
    <t>regular</t>
  </si>
  <si>
    <t>Power</t>
  </si>
  <si>
    <t>Chance</t>
  </si>
  <si>
    <t>superior</t>
  </si>
  <si>
    <t>exceptional</t>
  </si>
  <si>
    <t>extraordinary</t>
  </si>
  <si>
    <t>Basic Chance 100%</t>
  </si>
  <si>
    <t>Simple Chance 100%</t>
  </si>
  <si>
    <t>Regular Chance 100%</t>
  </si>
  <si>
    <t>Superior Chance 100%</t>
  </si>
  <si>
    <t>Exceptional Chance 100%</t>
  </si>
  <si>
    <t>Extraordinary Chance 100%</t>
  </si>
  <si>
    <t>Crystal Isles Gamma</t>
  </si>
  <si>
    <t>Crystal Isles Beta</t>
  </si>
  <si>
    <t>Crystal Isles Alpha</t>
  </si>
  <si>
    <t>Lost Island Gamma</t>
  </si>
  <si>
    <t>Lost Island Beta</t>
  </si>
  <si>
    <t>Lost Island Alpha</t>
  </si>
  <si>
    <t>Fjordur Gamma</t>
  </si>
  <si>
    <t>Fjordur Beta</t>
  </si>
  <si>
    <t>Fjordur Alpha</t>
  </si>
  <si>
    <t>King Titan Beta</t>
  </si>
  <si>
    <t>King Titan Alpha</t>
  </si>
  <si>
    <t>King Titan Gamma</t>
  </si>
  <si>
    <t>Scorched Earth Gamma</t>
  </si>
  <si>
    <t>Scorched Earth Beta</t>
  </si>
  <si>
    <t>Scorched Earth Alpha</t>
  </si>
  <si>
    <t>Genesis2 Gamma</t>
  </si>
  <si>
    <t>Genesis Part 2</t>
  </si>
  <si>
    <t>Genesis2 Beta</t>
  </si>
  <si>
    <t>Genesis2 Alpha</t>
  </si>
  <si>
    <t>Genesis1 Gamma</t>
  </si>
  <si>
    <t>Genesis1 Beta</t>
  </si>
  <si>
    <t>Genesis1 Alpha</t>
  </si>
  <si>
    <t>Abberation Gamma</t>
  </si>
  <si>
    <t>Abberation Beta</t>
  </si>
  <si>
    <t>Abberation Alpha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</si>
</sst>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3" xfId="0" applyFont="1" applyBorder="1"/>
    <xf numFmtId="0" fontId="1" fillId="0" borderId="1" xfId="0" applyFont="1" applyBorder="1"/>
    <xf numFmtId="0" fontId="1" fillId="0" borderId="2" xfId="0" applyFont="1" applyBorder="1"/>
    <xf numFmtId="0" fontId="1" fillId="0" borderId="4" xfId="0" applyFont="1" applyBorder="1"/>
    <xf numFmtId="0" fontId="1" fillId="0" borderId="5" xfId="0" applyFont="1" applyBorder="1"/>
    <xf numFmtId="3" fontId="0" fillId="0" borderId="5" xfId="0" applyNumberFormat="1" applyBorder="1"/>
    <xf numFmtId="3" fontId="0" fillId="0" borderId="4" xfId="0" applyNumberFormat="1" applyBorder="1"/>
    <xf numFmtId="3" fontId="0" fillId="0" borderId="1" xfId="0" applyNumberFormat="1" applyBorder="1"/>
    <xf numFmtId="0" fontId="0" fillId="2" borderId="2" xfId="0" applyFill="1" applyBorder="1"/>
    <xf numFmtId="0" fontId="1" fillId="0" borderId="8" xfId="0" applyFont="1" applyBorder="1"/>
    <xf numFmtId="0" fontId="1" fillId="0" borderId="6" xfId="0" applyFont="1" applyBorder="1"/>
    <xf numFmtId="0" fontId="0" fillId="2" borderId="6" xfId="0" applyFill="1" applyBorder="1"/>
    <xf numFmtId="0" fontId="1" fillId="0" borderId="7" xfId="0" applyFont="1" applyBorder="1"/>
    <xf numFmtId="0" fontId="0" fillId="0" borderId="9" xfId="0" applyBorder="1"/>
    <xf numFmtId="164" fontId="0" fillId="0" borderId="0" xfId="1" applyNumberFormat="1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2">
    <cellStyle name="Prozent" xfId="1" builtinId="5"/>
    <cellStyle name="Standard" xfId="0" builtinId="0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5" xr16:uid="{F79F95E4-3A19-43FD-A6B3-46E0C32ADB37}" autoFormatId="16" applyNumberFormats="0" applyBorderFormats="0" applyFontFormats="0" applyPatternFormats="0" applyAlignmentFormats="0" applyWidthHeightFormats="0">
  <queryTableRefresh nextId="16">
    <queryTableFields count="15">
      <queryTableField id="1" name="Column1" tableColumnId="1"/>
      <queryTableField id="2" name="aberration" tableColumnId="2"/>
      <queryTableField id="3" name="astraeos" tableColumnId="3"/>
      <queryTableField id="4" name="crystal-isles" tableColumnId="4"/>
      <queryTableField id="5" name="extinction" tableColumnId="5"/>
      <queryTableField id="6" name="fjordur" tableColumnId="6"/>
      <queryTableField id="7" name="genesis-2" tableColumnId="7"/>
      <queryTableField id="8" name="genesis" tableColumnId="8"/>
      <queryTableField id="9" name="lost-island" tableColumnId="9"/>
      <queryTableField id="10" name="ragnarok" tableColumnId="10"/>
      <queryTableField id="11" name="scorched-earth" tableColumnId="11"/>
      <queryTableField id="12" name="the-center" tableColumnId="12"/>
      <queryTableField id="13" name="the-island" tableColumnId="13"/>
      <queryTableField id="14" name="valguero" tableColumnId="14"/>
      <queryTableField id="15" name="Zusammengeführt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E3D6AC0-48A2-4E07-926F-D2FE041298B6}" name="wikily_maps" displayName="wikily_maps" ref="A1:O332" tableType="queryTable" totalsRowShown="0">
  <autoFilter ref="A1:O332" xr:uid="{DE3D6AC0-48A2-4E07-926F-D2FE041298B6}"/>
  <tableColumns count="15">
    <tableColumn id="1" xr3:uid="{40F78AF1-BD09-4EB9-8265-3530E0A5C421}" uniqueName="1" name="Column1" queryTableFieldId="1" dataDxfId="16"/>
    <tableColumn id="2" xr3:uid="{04AFA796-B128-400A-A447-A4E0264B8263}" uniqueName="2" name="aberration" queryTableFieldId="2" dataDxfId="15"/>
    <tableColumn id="3" xr3:uid="{F21E1AEF-D171-4EC2-B034-8C59FAF332EF}" uniqueName="3" name="astraeos" queryTableFieldId="3" dataDxfId="14"/>
    <tableColumn id="4" xr3:uid="{BF33B70D-5BA4-4779-AA3C-34D5E4E27AD1}" uniqueName="4" name="crystal-isles" queryTableFieldId="4" dataDxfId="13"/>
    <tableColumn id="5" xr3:uid="{454D068A-0FFA-406B-A964-371486BEB71B}" uniqueName="5" name="extinction" queryTableFieldId="5" dataDxfId="12"/>
    <tableColumn id="6" xr3:uid="{5804AB13-7EE8-4284-87CE-779ACFC0C00B}" uniqueName="6" name="fjordur" queryTableFieldId="6" dataDxfId="11"/>
    <tableColumn id="7" xr3:uid="{067466D2-31A5-4859-A5FC-77867E1ACC76}" uniqueName="7" name="genesis-2" queryTableFieldId="7" dataDxfId="10"/>
    <tableColumn id="8" xr3:uid="{EFE17866-6574-4DCA-B0DD-6FB3B70DF181}" uniqueName="8" name="genesis" queryTableFieldId="8" dataDxfId="9"/>
    <tableColumn id="9" xr3:uid="{F9443C97-2C0F-445F-8447-9103EDCB9512}" uniqueName="9" name="lost-island" queryTableFieldId="9" dataDxfId="8"/>
    <tableColumn id="10" xr3:uid="{9B538A20-63A8-4E12-8EDF-58337985E256}" uniqueName="10" name="ragnarok" queryTableFieldId="10" dataDxfId="7"/>
    <tableColumn id="11" xr3:uid="{9EFF8051-0924-4D35-9A6D-B7430A744F7B}" uniqueName="11" name="scorched-earth" queryTableFieldId="11" dataDxfId="6"/>
    <tableColumn id="12" xr3:uid="{AD529981-0F21-4CD5-838E-F3C6F915E19B}" uniqueName="12" name="the-center" queryTableFieldId="12" dataDxfId="5"/>
    <tableColumn id="13" xr3:uid="{20D1B3EC-BBE5-485E-8818-6A42DA45975A}" uniqueName="13" name="the-island" queryTableFieldId="13" dataDxfId="4"/>
    <tableColumn id="14" xr3:uid="{4D430D3B-B66F-420E-8A00-48A3E0226EBE}" uniqueName="14" name="valguero" queryTableFieldId="14" dataDxfId="3"/>
    <tableColumn id="15" xr3:uid="{00ACD4FF-2DD3-417E-940B-9DF513B2840B}" uniqueName="15" name="Zusammengeführt" queryTableFieldId="15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0B682-5E56-4EF8-B854-6A0C39BD288B}">
  <dimension ref="A1:O332"/>
  <sheetViews>
    <sheetView topLeftCell="A177" workbookViewId="0">
      <selection activeCell="O179" sqref="O179"/>
    </sheetView>
  </sheetViews>
  <sheetFormatPr baseColWidth="10" defaultRowHeight="15" x14ac:dyDescent="0.25"/>
  <cols>
    <col min="1" max="1" width="25.42578125" bestFit="1" customWidth="1"/>
    <col min="2" max="2" width="12.5703125" bestFit="1" customWidth="1"/>
    <col min="3" max="3" width="10.7109375" bestFit="1" customWidth="1"/>
    <col min="4" max="4" width="13.7109375" bestFit="1" customWidth="1"/>
    <col min="5" max="5" width="12.28515625" bestFit="1" customWidth="1"/>
    <col min="6" max="6" width="9.42578125" bestFit="1" customWidth="1"/>
    <col min="7" max="7" width="11.7109375" bestFit="1" customWidth="1"/>
    <col min="8" max="8" width="10" bestFit="1" customWidth="1"/>
    <col min="9" max="9" width="12.5703125" bestFit="1" customWidth="1"/>
    <col min="10" max="10" width="11" bestFit="1" customWidth="1"/>
    <col min="11" max="11" width="16.5703125" bestFit="1" customWidth="1"/>
    <col min="12" max="12" width="12.7109375" bestFit="1" customWidth="1"/>
    <col min="13" max="13" width="12.28515625" bestFit="1" customWidth="1"/>
    <col min="14" max="14" width="11" bestFit="1" customWidth="1"/>
    <col min="15" max="15" width="81.140625" bestFit="1" customWidth="1"/>
  </cols>
  <sheetData>
    <row r="1" spans="1:15" x14ac:dyDescent="0.25">
      <c r="A1" t="s">
        <v>234</v>
      </c>
      <c r="B1" t="s">
        <v>235</v>
      </c>
      <c r="C1" t="s">
        <v>236</v>
      </c>
      <c r="D1" t="s">
        <v>237</v>
      </c>
      <c r="E1" t="s">
        <v>238</v>
      </c>
      <c r="F1" t="s">
        <v>239</v>
      </c>
      <c r="G1" t="s">
        <v>240</v>
      </c>
      <c r="H1" t="s">
        <v>241</v>
      </c>
      <c r="I1" t="s">
        <v>242</v>
      </c>
      <c r="J1" t="s">
        <v>243</v>
      </c>
      <c r="K1" t="s">
        <v>244</v>
      </c>
      <c r="L1" t="s">
        <v>245</v>
      </c>
      <c r="M1" t="s">
        <v>246</v>
      </c>
      <c r="N1" t="s">
        <v>247</v>
      </c>
      <c r="O1" t="s">
        <v>585</v>
      </c>
    </row>
    <row r="2" spans="1:15" x14ac:dyDescent="0.25">
      <c r="A2" t="s">
        <v>248</v>
      </c>
      <c r="B2" t="s">
        <v>249</v>
      </c>
      <c r="F2" t="s">
        <v>183</v>
      </c>
      <c r="O2" t="s">
        <v>586</v>
      </c>
    </row>
    <row r="3" spans="1:15" x14ac:dyDescent="0.25">
      <c r="A3" t="s">
        <v>250</v>
      </c>
      <c r="B3" t="s">
        <v>249</v>
      </c>
      <c r="D3" t="s">
        <v>195</v>
      </c>
      <c r="N3" t="s">
        <v>251</v>
      </c>
      <c r="O3" t="s">
        <v>587</v>
      </c>
    </row>
    <row r="4" spans="1:15" x14ac:dyDescent="0.25">
      <c r="A4" t="s">
        <v>252</v>
      </c>
      <c r="B4" t="s">
        <v>249</v>
      </c>
      <c r="O4" t="s">
        <v>249</v>
      </c>
    </row>
    <row r="5" spans="1:15" x14ac:dyDescent="0.25">
      <c r="A5" t="s">
        <v>253</v>
      </c>
      <c r="B5" t="s">
        <v>249</v>
      </c>
      <c r="N5" t="s">
        <v>251</v>
      </c>
      <c r="O5" t="s">
        <v>588</v>
      </c>
    </row>
    <row r="6" spans="1:15" x14ac:dyDescent="0.25">
      <c r="A6" t="s">
        <v>254</v>
      </c>
      <c r="B6" t="s">
        <v>249</v>
      </c>
      <c r="D6" t="s">
        <v>195</v>
      </c>
      <c r="F6" t="s">
        <v>183</v>
      </c>
      <c r="I6" t="s">
        <v>197</v>
      </c>
      <c r="O6" t="s">
        <v>589</v>
      </c>
    </row>
    <row r="7" spans="1:15" x14ac:dyDescent="0.25">
      <c r="A7" t="s">
        <v>255</v>
      </c>
      <c r="B7" t="s">
        <v>249</v>
      </c>
      <c r="D7" t="s">
        <v>195</v>
      </c>
      <c r="N7" t="s">
        <v>251</v>
      </c>
      <c r="O7" t="s">
        <v>587</v>
      </c>
    </row>
    <row r="8" spans="1:15" x14ac:dyDescent="0.25">
      <c r="A8" t="s">
        <v>256</v>
      </c>
      <c r="B8" t="s">
        <v>249</v>
      </c>
      <c r="D8" t="s">
        <v>195</v>
      </c>
      <c r="N8" t="s">
        <v>251</v>
      </c>
      <c r="O8" t="s">
        <v>587</v>
      </c>
    </row>
    <row r="9" spans="1:15" x14ac:dyDescent="0.25">
      <c r="A9" t="s">
        <v>257</v>
      </c>
      <c r="B9" t="s">
        <v>249</v>
      </c>
      <c r="C9" t="s">
        <v>258</v>
      </c>
      <c r="F9" t="s">
        <v>183</v>
      </c>
      <c r="N9" t="s">
        <v>251</v>
      </c>
      <c r="O9" t="s">
        <v>590</v>
      </c>
    </row>
    <row r="10" spans="1:15" x14ac:dyDescent="0.25">
      <c r="A10" t="s">
        <v>259</v>
      </c>
      <c r="B10" t="s">
        <v>249</v>
      </c>
      <c r="C10" t="s">
        <v>258</v>
      </c>
      <c r="D10" t="s">
        <v>195</v>
      </c>
      <c r="F10" t="s">
        <v>183</v>
      </c>
      <c r="I10" t="s">
        <v>197</v>
      </c>
      <c r="N10" t="s">
        <v>251</v>
      </c>
      <c r="O10" t="s">
        <v>591</v>
      </c>
    </row>
    <row r="11" spans="1:15" x14ac:dyDescent="0.25">
      <c r="A11" t="s">
        <v>260</v>
      </c>
      <c r="B11" t="s">
        <v>249</v>
      </c>
      <c r="C11" t="s">
        <v>258</v>
      </c>
      <c r="D11" t="s">
        <v>195</v>
      </c>
      <c r="O11" t="s">
        <v>592</v>
      </c>
    </row>
    <row r="12" spans="1:15" x14ac:dyDescent="0.25">
      <c r="A12" t="s">
        <v>261</v>
      </c>
      <c r="B12" t="s">
        <v>249</v>
      </c>
      <c r="C12" t="s">
        <v>258</v>
      </c>
      <c r="D12" t="s">
        <v>195</v>
      </c>
      <c r="F12" t="s">
        <v>183</v>
      </c>
      <c r="O12" t="s">
        <v>593</v>
      </c>
    </row>
    <row r="13" spans="1:15" x14ac:dyDescent="0.25">
      <c r="A13" t="s">
        <v>262</v>
      </c>
      <c r="B13" t="s">
        <v>249</v>
      </c>
      <c r="D13" t="s">
        <v>195</v>
      </c>
      <c r="N13" t="s">
        <v>251</v>
      </c>
      <c r="O13" t="s">
        <v>587</v>
      </c>
    </row>
    <row r="14" spans="1:15" x14ac:dyDescent="0.25">
      <c r="A14" t="s">
        <v>263</v>
      </c>
      <c r="B14" t="s">
        <v>249</v>
      </c>
      <c r="N14" t="s">
        <v>251</v>
      </c>
      <c r="O14" t="s">
        <v>588</v>
      </c>
    </row>
    <row r="15" spans="1:15" x14ac:dyDescent="0.25">
      <c r="A15" t="s">
        <v>264</v>
      </c>
      <c r="B15" t="s">
        <v>249</v>
      </c>
      <c r="D15" t="s">
        <v>195</v>
      </c>
      <c r="N15" t="s">
        <v>251</v>
      </c>
      <c r="O15" t="s">
        <v>587</v>
      </c>
    </row>
    <row r="16" spans="1:15" x14ac:dyDescent="0.25">
      <c r="A16" t="s">
        <v>265</v>
      </c>
      <c r="B16" t="s">
        <v>249</v>
      </c>
      <c r="C16" t="s">
        <v>258</v>
      </c>
      <c r="F16" t="s">
        <v>183</v>
      </c>
      <c r="N16" t="s">
        <v>251</v>
      </c>
      <c r="O16" t="s">
        <v>590</v>
      </c>
    </row>
    <row r="17" spans="1:15" x14ac:dyDescent="0.25">
      <c r="A17" t="s">
        <v>266</v>
      </c>
      <c r="B17" t="s">
        <v>249</v>
      </c>
      <c r="C17" t="s">
        <v>258</v>
      </c>
      <c r="F17" t="s">
        <v>183</v>
      </c>
      <c r="N17" t="s">
        <v>251</v>
      </c>
      <c r="O17" t="s">
        <v>590</v>
      </c>
    </row>
    <row r="18" spans="1:15" x14ac:dyDescent="0.25">
      <c r="A18" t="s">
        <v>267</v>
      </c>
      <c r="B18" t="s">
        <v>249</v>
      </c>
      <c r="C18" t="s">
        <v>258</v>
      </c>
      <c r="F18" t="s">
        <v>183</v>
      </c>
      <c r="J18" t="s">
        <v>268</v>
      </c>
      <c r="N18" t="s">
        <v>251</v>
      </c>
      <c r="O18" t="s">
        <v>594</v>
      </c>
    </row>
    <row r="19" spans="1:15" x14ac:dyDescent="0.25">
      <c r="A19" t="s">
        <v>269</v>
      </c>
      <c r="B19" t="s">
        <v>249</v>
      </c>
      <c r="C19" t="s">
        <v>258</v>
      </c>
      <c r="F19" t="s">
        <v>183</v>
      </c>
      <c r="N19" t="s">
        <v>251</v>
      </c>
      <c r="O19" t="s">
        <v>590</v>
      </c>
    </row>
    <row r="20" spans="1:15" x14ac:dyDescent="0.25">
      <c r="A20" t="s">
        <v>270</v>
      </c>
      <c r="B20" t="s">
        <v>249</v>
      </c>
      <c r="D20" t="s">
        <v>195</v>
      </c>
      <c r="F20" t="s">
        <v>183</v>
      </c>
      <c r="O20" t="s">
        <v>595</v>
      </c>
    </row>
    <row r="21" spans="1:15" x14ac:dyDescent="0.25">
      <c r="A21" t="s">
        <v>271</v>
      </c>
      <c r="B21" t="s">
        <v>249</v>
      </c>
      <c r="C21" t="s">
        <v>258</v>
      </c>
      <c r="D21" t="s">
        <v>195</v>
      </c>
      <c r="N21" t="s">
        <v>251</v>
      </c>
      <c r="O21" t="s">
        <v>596</v>
      </c>
    </row>
    <row r="22" spans="1:15" x14ac:dyDescent="0.25">
      <c r="A22" t="s">
        <v>272</v>
      </c>
      <c r="B22" t="s">
        <v>249</v>
      </c>
      <c r="C22" t="s">
        <v>258</v>
      </c>
      <c r="F22" t="s">
        <v>183</v>
      </c>
      <c r="N22" t="s">
        <v>251</v>
      </c>
      <c r="O22" t="s">
        <v>590</v>
      </c>
    </row>
    <row r="23" spans="1:15" x14ac:dyDescent="0.25">
      <c r="A23" t="s">
        <v>273</v>
      </c>
      <c r="B23" t="s">
        <v>249</v>
      </c>
      <c r="O23" t="s">
        <v>249</v>
      </c>
    </row>
    <row r="24" spans="1:15" x14ac:dyDescent="0.25">
      <c r="A24" t="s">
        <v>274</v>
      </c>
      <c r="B24" t="s">
        <v>249</v>
      </c>
      <c r="O24" t="s">
        <v>249</v>
      </c>
    </row>
    <row r="25" spans="1:15" x14ac:dyDescent="0.25">
      <c r="A25" t="s">
        <v>275</v>
      </c>
      <c r="B25" t="s">
        <v>249</v>
      </c>
      <c r="C25" t="s">
        <v>258</v>
      </c>
      <c r="O25" t="s">
        <v>597</v>
      </c>
    </row>
    <row r="26" spans="1:15" x14ac:dyDescent="0.25">
      <c r="A26" t="s">
        <v>276</v>
      </c>
      <c r="B26" t="s">
        <v>249</v>
      </c>
      <c r="C26" t="s">
        <v>258</v>
      </c>
      <c r="F26" t="s">
        <v>183</v>
      </c>
      <c r="N26" t="s">
        <v>251</v>
      </c>
      <c r="O26" t="s">
        <v>590</v>
      </c>
    </row>
    <row r="27" spans="1:15" x14ac:dyDescent="0.25">
      <c r="A27" t="s">
        <v>277</v>
      </c>
      <c r="B27" t="s">
        <v>249</v>
      </c>
      <c r="C27" t="s">
        <v>258</v>
      </c>
      <c r="F27" t="s">
        <v>183</v>
      </c>
      <c r="N27" t="s">
        <v>251</v>
      </c>
      <c r="O27" t="s">
        <v>590</v>
      </c>
    </row>
    <row r="28" spans="1:15" x14ac:dyDescent="0.25">
      <c r="A28" t="s">
        <v>278</v>
      </c>
      <c r="B28" t="s">
        <v>249</v>
      </c>
      <c r="D28" t="s">
        <v>195</v>
      </c>
      <c r="O28" t="s">
        <v>598</v>
      </c>
    </row>
    <row r="29" spans="1:15" x14ac:dyDescent="0.25">
      <c r="A29" t="s">
        <v>279</v>
      </c>
      <c r="B29" t="s">
        <v>249</v>
      </c>
      <c r="F29" t="s">
        <v>183</v>
      </c>
      <c r="J29" t="s">
        <v>268</v>
      </c>
      <c r="O29" t="s">
        <v>599</v>
      </c>
    </row>
    <row r="30" spans="1:15" x14ac:dyDescent="0.25">
      <c r="A30" t="s">
        <v>280</v>
      </c>
      <c r="B30" t="s">
        <v>249</v>
      </c>
      <c r="D30" t="s">
        <v>195</v>
      </c>
      <c r="F30" t="s">
        <v>183</v>
      </c>
      <c r="O30" t="s">
        <v>595</v>
      </c>
    </row>
    <row r="31" spans="1:15" x14ac:dyDescent="0.25">
      <c r="A31" t="s">
        <v>281</v>
      </c>
      <c r="B31" t="s">
        <v>249</v>
      </c>
      <c r="C31" t="s">
        <v>258</v>
      </c>
      <c r="F31" t="s">
        <v>183</v>
      </c>
      <c r="I31" t="s">
        <v>197</v>
      </c>
      <c r="N31" t="s">
        <v>251</v>
      </c>
      <c r="O31" t="s">
        <v>600</v>
      </c>
    </row>
    <row r="32" spans="1:15" x14ac:dyDescent="0.25">
      <c r="A32" t="s">
        <v>282</v>
      </c>
      <c r="B32" t="s">
        <v>249</v>
      </c>
      <c r="C32" t="s">
        <v>258</v>
      </c>
      <c r="F32" t="s">
        <v>183</v>
      </c>
      <c r="N32" t="s">
        <v>251</v>
      </c>
      <c r="O32" t="s">
        <v>590</v>
      </c>
    </row>
    <row r="33" spans="1:15" x14ac:dyDescent="0.25">
      <c r="A33" t="s">
        <v>283</v>
      </c>
      <c r="B33" t="s">
        <v>249</v>
      </c>
      <c r="C33" t="s">
        <v>258</v>
      </c>
      <c r="D33" t="s">
        <v>195</v>
      </c>
      <c r="F33" t="s">
        <v>183</v>
      </c>
      <c r="N33" t="s">
        <v>251</v>
      </c>
      <c r="O33" t="s">
        <v>601</v>
      </c>
    </row>
    <row r="34" spans="1:15" x14ac:dyDescent="0.25">
      <c r="A34" t="s">
        <v>284</v>
      </c>
      <c r="B34" t="s">
        <v>249</v>
      </c>
      <c r="C34" t="s">
        <v>258</v>
      </c>
      <c r="O34" t="s">
        <v>597</v>
      </c>
    </row>
    <row r="35" spans="1:15" x14ac:dyDescent="0.25">
      <c r="A35" t="s">
        <v>285</v>
      </c>
      <c r="B35" t="s">
        <v>249</v>
      </c>
      <c r="C35" t="s">
        <v>258</v>
      </c>
      <c r="F35" t="s">
        <v>183</v>
      </c>
      <c r="N35" t="s">
        <v>251</v>
      </c>
      <c r="O35" t="s">
        <v>590</v>
      </c>
    </row>
    <row r="36" spans="1:15" x14ac:dyDescent="0.25">
      <c r="A36" t="s">
        <v>286</v>
      </c>
      <c r="B36" t="s">
        <v>249</v>
      </c>
      <c r="C36" t="s">
        <v>258</v>
      </c>
      <c r="F36" t="s">
        <v>183</v>
      </c>
      <c r="N36" t="s">
        <v>251</v>
      </c>
      <c r="O36" t="s">
        <v>590</v>
      </c>
    </row>
    <row r="37" spans="1:15" x14ac:dyDescent="0.25">
      <c r="A37" t="s">
        <v>287</v>
      </c>
      <c r="B37" t="s">
        <v>249</v>
      </c>
      <c r="C37" t="s">
        <v>258</v>
      </c>
      <c r="F37" t="s">
        <v>183</v>
      </c>
      <c r="N37" t="s">
        <v>251</v>
      </c>
      <c r="O37" t="s">
        <v>590</v>
      </c>
    </row>
    <row r="38" spans="1:15" x14ac:dyDescent="0.25">
      <c r="A38" t="s">
        <v>288</v>
      </c>
      <c r="B38" t="s">
        <v>249</v>
      </c>
      <c r="C38" t="s">
        <v>258</v>
      </c>
      <c r="D38" t="s">
        <v>195</v>
      </c>
      <c r="F38" t="s">
        <v>183</v>
      </c>
      <c r="O38" t="s">
        <v>593</v>
      </c>
    </row>
    <row r="39" spans="1:15" x14ac:dyDescent="0.25">
      <c r="A39" t="s">
        <v>289</v>
      </c>
      <c r="B39" t="s">
        <v>249</v>
      </c>
      <c r="C39" t="s">
        <v>258</v>
      </c>
      <c r="D39" t="s">
        <v>195</v>
      </c>
      <c r="F39" t="s">
        <v>183</v>
      </c>
      <c r="I39" t="s">
        <v>197</v>
      </c>
      <c r="N39" t="s">
        <v>251</v>
      </c>
      <c r="O39" t="s">
        <v>591</v>
      </c>
    </row>
    <row r="40" spans="1:15" x14ac:dyDescent="0.25">
      <c r="A40" t="s">
        <v>290</v>
      </c>
      <c r="B40" t="s">
        <v>249</v>
      </c>
      <c r="D40" t="s">
        <v>195</v>
      </c>
      <c r="F40" t="s">
        <v>183</v>
      </c>
      <c r="O40" t="s">
        <v>595</v>
      </c>
    </row>
    <row r="41" spans="1:15" x14ac:dyDescent="0.25">
      <c r="A41" t="s">
        <v>291</v>
      </c>
      <c r="B41" t="s">
        <v>249</v>
      </c>
      <c r="C41" t="s">
        <v>258</v>
      </c>
      <c r="F41" t="s">
        <v>183</v>
      </c>
      <c r="I41" t="s">
        <v>197</v>
      </c>
      <c r="N41" t="s">
        <v>251</v>
      </c>
      <c r="O41" t="s">
        <v>600</v>
      </c>
    </row>
    <row r="42" spans="1:15" x14ac:dyDescent="0.25">
      <c r="A42" t="s">
        <v>292</v>
      </c>
      <c r="B42" t="s">
        <v>249</v>
      </c>
      <c r="C42" t="s">
        <v>258</v>
      </c>
      <c r="D42" t="s">
        <v>195</v>
      </c>
      <c r="F42" t="s">
        <v>183</v>
      </c>
      <c r="N42" t="s">
        <v>251</v>
      </c>
      <c r="O42" t="s">
        <v>601</v>
      </c>
    </row>
    <row r="43" spans="1:15" x14ac:dyDescent="0.25">
      <c r="A43" t="s">
        <v>293</v>
      </c>
      <c r="B43" t="s">
        <v>249</v>
      </c>
      <c r="C43" t="s">
        <v>258</v>
      </c>
      <c r="D43" t="s">
        <v>195</v>
      </c>
      <c r="F43" t="s">
        <v>183</v>
      </c>
      <c r="N43" t="s">
        <v>251</v>
      </c>
      <c r="O43" t="s">
        <v>601</v>
      </c>
    </row>
    <row r="44" spans="1:15" x14ac:dyDescent="0.25">
      <c r="A44" t="s">
        <v>294</v>
      </c>
      <c r="B44" t="s">
        <v>249</v>
      </c>
      <c r="D44" t="s">
        <v>195</v>
      </c>
      <c r="F44" t="s">
        <v>183</v>
      </c>
      <c r="N44" t="s">
        <v>251</v>
      </c>
      <c r="O44" t="s">
        <v>602</v>
      </c>
    </row>
    <row r="45" spans="1:15" x14ac:dyDescent="0.25">
      <c r="A45" t="s">
        <v>295</v>
      </c>
      <c r="B45" t="s">
        <v>249</v>
      </c>
      <c r="C45" t="s">
        <v>258</v>
      </c>
      <c r="F45" t="s">
        <v>183</v>
      </c>
      <c r="N45" t="s">
        <v>251</v>
      </c>
      <c r="O45" t="s">
        <v>590</v>
      </c>
    </row>
    <row r="46" spans="1:15" x14ac:dyDescent="0.25">
      <c r="A46" t="s">
        <v>296</v>
      </c>
      <c r="B46" t="s">
        <v>249</v>
      </c>
      <c r="F46" t="s">
        <v>183</v>
      </c>
      <c r="N46" t="s">
        <v>251</v>
      </c>
      <c r="O46" t="s">
        <v>603</v>
      </c>
    </row>
    <row r="47" spans="1:15" x14ac:dyDescent="0.25">
      <c r="A47" t="s">
        <v>297</v>
      </c>
      <c r="B47" t="s">
        <v>249</v>
      </c>
      <c r="C47" t="s">
        <v>258</v>
      </c>
      <c r="F47" t="s">
        <v>183</v>
      </c>
      <c r="N47" t="s">
        <v>251</v>
      </c>
      <c r="O47" t="s">
        <v>590</v>
      </c>
    </row>
    <row r="48" spans="1:15" x14ac:dyDescent="0.25">
      <c r="A48" t="s">
        <v>298</v>
      </c>
      <c r="B48" t="s">
        <v>249</v>
      </c>
      <c r="D48" t="s">
        <v>195</v>
      </c>
      <c r="N48" t="s">
        <v>251</v>
      </c>
      <c r="O48" t="s">
        <v>587</v>
      </c>
    </row>
    <row r="49" spans="1:15" x14ac:dyDescent="0.25">
      <c r="A49" t="s">
        <v>299</v>
      </c>
      <c r="C49" t="s">
        <v>258</v>
      </c>
      <c r="D49" t="s">
        <v>195</v>
      </c>
      <c r="E49" t="s">
        <v>196</v>
      </c>
      <c r="F49" t="s">
        <v>183</v>
      </c>
      <c r="G49" t="s">
        <v>300</v>
      </c>
      <c r="I49" t="s">
        <v>197</v>
      </c>
      <c r="J49" t="s">
        <v>268</v>
      </c>
      <c r="K49" t="s">
        <v>202</v>
      </c>
      <c r="L49" t="s">
        <v>184</v>
      </c>
      <c r="M49" t="s">
        <v>182</v>
      </c>
      <c r="N49" t="s">
        <v>251</v>
      </c>
      <c r="O49" t="s">
        <v>604</v>
      </c>
    </row>
    <row r="50" spans="1:15" x14ac:dyDescent="0.25">
      <c r="A50" t="s">
        <v>301</v>
      </c>
      <c r="C50" t="s">
        <v>258</v>
      </c>
      <c r="D50" t="s">
        <v>195</v>
      </c>
      <c r="E50" t="s">
        <v>196</v>
      </c>
      <c r="F50" t="s">
        <v>183</v>
      </c>
      <c r="G50" t="s">
        <v>300</v>
      </c>
      <c r="I50" t="s">
        <v>197</v>
      </c>
      <c r="J50" t="s">
        <v>268</v>
      </c>
      <c r="L50" t="s">
        <v>184</v>
      </c>
      <c r="M50" t="s">
        <v>182</v>
      </c>
      <c r="N50" t="s">
        <v>251</v>
      </c>
      <c r="O50" t="s">
        <v>605</v>
      </c>
    </row>
    <row r="51" spans="1:15" x14ac:dyDescent="0.25">
      <c r="A51" t="s">
        <v>302</v>
      </c>
      <c r="L51" t="s">
        <v>184</v>
      </c>
      <c r="M51" t="s">
        <v>182</v>
      </c>
      <c r="O51" t="s">
        <v>606</v>
      </c>
    </row>
    <row r="52" spans="1:15" x14ac:dyDescent="0.25">
      <c r="A52" t="s">
        <v>303</v>
      </c>
      <c r="M52" t="s">
        <v>182</v>
      </c>
      <c r="O52" t="s">
        <v>182</v>
      </c>
    </row>
    <row r="53" spans="1:15" x14ac:dyDescent="0.25">
      <c r="A53" t="s">
        <v>304</v>
      </c>
      <c r="M53" t="s">
        <v>182</v>
      </c>
      <c r="O53" t="s">
        <v>182</v>
      </c>
    </row>
    <row r="54" spans="1:15" x14ac:dyDescent="0.25">
      <c r="A54" t="s">
        <v>305</v>
      </c>
      <c r="M54" t="s">
        <v>182</v>
      </c>
      <c r="O54" t="s">
        <v>182</v>
      </c>
    </row>
    <row r="55" spans="1:15" x14ac:dyDescent="0.25">
      <c r="A55" t="s">
        <v>306</v>
      </c>
      <c r="M55" t="s">
        <v>182</v>
      </c>
      <c r="O55" t="s">
        <v>182</v>
      </c>
    </row>
    <row r="56" spans="1:15" x14ac:dyDescent="0.25">
      <c r="A56" t="s">
        <v>307</v>
      </c>
      <c r="I56" t="s">
        <v>197</v>
      </c>
      <c r="O56" t="s">
        <v>197</v>
      </c>
    </row>
    <row r="57" spans="1:15" x14ac:dyDescent="0.25">
      <c r="A57" t="s">
        <v>308</v>
      </c>
      <c r="C57" t="s">
        <v>258</v>
      </c>
      <c r="D57" t="s">
        <v>195</v>
      </c>
      <c r="F57" t="s">
        <v>183</v>
      </c>
      <c r="G57" t="s">
        <v>300</v>
      </c>
      <c r="H57" t="s">
        <v>309</v>
      </c>
      <c r="I57" t="s">
        <v>197</v>
      </c>
      <c r="J57" t="s">
        <v>268</v>
      </c>
      <c r="L57" t="s">
        <v>184</v>
      </c>
      <c r="M57" t="s">
        <v>182</v>
      </c>
      <c r="N57" t="s">
        <v>251</v>
      </c>
      <c r="O57" t="s">
        <v>607</v>
      </c>
    </row>
    <row r="58" spans="1:15" x14ac:dyDescent="0.25">
      <c r="A58" t="s">
        <v>310</v>
      </c>
      <c r="F58" t="s">
        <v>183</v>
      </c>
      <c r="O58" t="s">
        <v>183</v>
      </c>
    </row>
    <row r="59" spans="1:15" x14ac:dyDescent="0.25">
      <c r="A59" t="s">
        <v>311</v>
      </c>
      <c r="C59" t="s">
        <v>258</v>
      </c>
      <c r="D59" t="s">
        <v>195</v>
      </c>
      <c r="F59" t="s">
        <v>183</v>
      </c>
      <c r="G59" t="s">
        <v>300</v>
      </c>
      <c r="H59" t="s">
        <v>309</v>
      </c>
      <c r="I59" t="s">
        <v>197</v>
      </c>
      <c r="J59" t="s">
        <v>268</v>
      </c>
      <c r="L59" t="s">
        <v>184</v>
      </c>
      <c r="M59" t="s">
        <v>182</v>
      </c>
      <c r="N59" t="s">
        <v>251</v>
      </c>
      <c r="O59" t="s">
        <v>607</v>
      </c>
    </row>
    <row r="60" spans="1:15" x14ac:dyDescent="0.25">
      <c r="A60" t="s">
        <v>312</v>
      </c>
      <c r="C60" t="s">
        <v>258</v>
      </c>
      <c r="D60" t="s">
        <v>195</v>
      </c>
      <c r="E60" t="s">
        <v>196</v>
      </c>
      <c r="F60" t="s">
        <v>183</v>
      </c>
      <c r="G60" t="s">
        <v>300</v>
      </c>
      <c r="H60" t="s">
        <v>309</v>
      </c>
      <c r="I60" t="s">
        <v>197</v>
      </c>
      <c r="J60" t="s">
        <v>268</v>
      </c>
      <c r="K60" t="s">
        <v>202</v>
      </c>
      <c r="L60" t="s">
        <v>184</v>
      </c>
      <c r="M60" t="s">
        <v>182</v>
      </c>
      <c r="N60" t="s">
        <v>251</v>
      </c>
      <c r="O60" t="s">
        <v>608</v>
      </c>
    </row>
    <row r="61" spans="1:15" x14ac:dyDescent="0.25">
      <c r="A61" t="s">
        <v>313</v>
      </c>
      <c r="C61" t="s">
        <v>258</v>
      </c>
      <c r="D61" t="s">
        <v>195</v>
      </c>
      <c r="E61" t="s">
        <v>196</v>
      </c>
      <c r="F61" t="s">
        <v>183</v>
      </c>
      <c r="G61" t="s">
        <v>300</v>
      </c>
      <c r="H61" t="s">
        <v>309</v>
      </c>
      <c r="I61" t="s">
        <v>197</v>
      </c>
      <c r="J61" t="s">
        <v>268</v>
      </c>
      <c r="K61" t="s">
        <v>202</v>
      </c>
      <c r="L61" t="s">
        <v>184</v>
      </c>
      <c r="M61" t="s">
        <v>182</v>
      </c>
      <c r="N61" t="s">
        <v>251</v>
      </c>
      <c r="O61" t="s">
        <v>608</v>
      </c>
    </row>
    <row r="62" spans="1:15" x14ac:dyDescent="0.25">
      <c r="A62" t="s">
        <v>314</v>
      </c>
      <c r="D62" t="s">
        <v>195</v>
      </c>
      <c r="E62" t="s">
        <v>196</v>
      </c>
      <c r="F62" t="s">
        <v>183</v>
      </c>
      <c r="H62" t="s">
        <v>309</v>
      </c>
      <c r="I62" t="s">
        <v>197</v>
      </c>
      <c r="J62" t="s">
        <v>268</v>
      </c>
      <c r="K62" t="s">
        <v>202</v>
      </c>
      <c r="L62" t="s">
        <v>184</v>
      </c>
      <c r="M62" t="s">
        <v>182</v>
      </c>
      <c r="N62" t="s">
        <v>251</v>
      </c>
      <c r="O62" t="s">
        <v>609</v>
      </c>
    </row>
    <row r="63" spans="1:15" x14ac:dyDescent="0.25">
      <c r="A63" t="s">
        <v>315</v>
      </c>
      <c r="C63" t="s">
        <v>258</v>
      </c>
      <c r="J63" t="s">
        <v>268</v>
      </c>
      <c r="L63" t="s">
        <v>184</v>
      </c>
      <c r="M63" t="s">
        <v>182</v>
      </c>
      <c r="N63" t="s">
        <v>251</v>
      </c>
      <c r="O63" t="s">
        <v>610</v>
      </c>
    </row>
    <row r="64" spans="1:15" x14ac:dyDescent="0.25">
      <c r="A64" t="s">
        <v>316</v>
      </c>
      <c r="C64" t="s">
        <v>258</v>
      </c>
      <c r="D64" t="s">
        <v>195</v>
      </c>
      <c r="E64" t="s">
        <v>196</v>
      </c>
      <c r="F64" t="s">
        <v>183</v>
      </c>
      <c r="G64" t="s">
        <v>300</v>
      </c>
      <c r="H64" t="s">
        <v>309</v>
      </c>
      <c r="I64" t="s">
        <v>197</v>
      </c>
      <c r="J64" t="s">
        <v>268</v>
      </c>
      <c r="K64" t="s">
        <v>202</v>
      </c>
      <c r="L64" t="s">
        <v>184</v>
      </c>
      <c r="M64" t="s">
        <v>182</v>
      </c>
      <c r="N64" t="s">
        <v>251</v>
      </c>
      <c r="O64" t="s">
        <v>608</v>
      </c>
    </row>
    <row r="65" spans="1:15" x14ac:dyDescent="0.25">
      <c r="A65" t="s">
        <v>317</v>
      </c>
      <c r="E65" t="s">
        <v>196</v>
      </c>
      <c r="O65" t="s">
        <v>196</v>
      </c>
    </row>
    <row r="66" spans="1:15" x14ac:dyDescent="0.25">
      <c r="A66" t="s">
        <v>318</v>
      </c>
      <c r="C66" t="s">
        <v>258</v>
      </c>
      <c r="D66" t="s">
        <v>195</v>
      </c>
      <c r="E66" t="s">
        <v>196</v>
      </c>
      <c r="F66" t="s">
        <v>183</v>
      </c>
      <c r="G66" t="s">
        <v>300</v>
      </c>
      <c r="H66" t="s">
        <v>309</v>
      </c>
      <c r="I66" t="s">
        <v>197</v>
      </c>
      <c r="J66" t="s">
        <v>268</v>
      </c>
      <c r="K66" t="s">
        <v>202</v>
      </c>
      <c r="L66" t="s">
        <v>184</v>
      </c>
      <c r="M66" t="s">
        <v>182</v>
      </c>
      <c r="N66" t="s">
        <v>251</v>
      </c>
      <c r="O66" t="s">
        <v>608</v>
      </c>
    </row>
    <row r="67" spans="1:15" x14ac:dyDescent="0.25">
      <c r="A67" t="s">
        <v>319</v>
      </c>
      <c r="G67" t="s">
        <v>300</v>
      </c>
      <c r="H67" t="s">
        <v>309</v>
      </c>
      <c r="O67" t="s">
        <v>611</v>
      </c>
    </row>
    <row r="68" spans="1:15" x14ac:dyDescent="0.25">
      <c r="A68" t="s">
        <v>320</v>
      </c>
      <c r="G68" t="s">
        <v>300</v>
      </c>
      <c r="O68" t="s">
        <v>300</v>
      </c>
    </row>
    <row r="69" spans="1:15" x14ac:dyDescent="0.25">
      <c r="A69" t="s">
        <v>321</v>
      </c>
      <c r="H69" t="s">
        <v>309</v>
      </c>
      <c r="O69" t="s">
        <v>309</v>
      </c>
    </row>
    <row r="70" spans="1:15" x14ac:dyDescent="0.25">
      <c r="A70" t="s">
        <v>322</v>
      </c>
      <c r="J70" t="s">
        <v>268</v>
      </c>
      <c r="N70" t="s">
        <v>251</v>
      </c>
      <c r="O70" t="s">
        <v>612</v>
      </c>
    </row>
    <row r="71" spans="1:15" x14ac:dyDescent="0.25">
      <c r="A71" t="s">
        <v>323</v>
      </c>
      <c r="C71" t="s">
        <v>258</v>
      </c>
      <c r="D71" t="s">
        <v>195</v>
      </c>
      <c r="E71" t="s">
        <v>196</v>
      </c>
      <c r="F71" t="s">
        <v>183</v>
      </c>
      <c r="G71" t="s">
        <v>300</v>
      </c>
      <c r="H71" t="s">
        <v>309</v>
      </c>
      <c r="I71" t="s">
        <v>197</v>
      </c>
      <c r="J71" t="s">
        <v>268</v>
      </c>
      <c r="L71" t="s">
        <v>184</v>
      </c>
      <c r="M71" t="s">
        <v>182</v>
      </c>
      <c r="N71" t="s">
        <v>251</v>
      </c>
      <c r="O71" t="s">
        <v>613</v>
      </c>
    </row>
    <row r="72" spans="1:15" x14ac:dyDescent="0.25">
      <c r="A72" t="s">
        <v>324</v>
      </c>
      <c r="B72" t="s">
        <v>249</v>
      </c>
      <c r="D72" t="s">
        <v>195</v>
      </c>
      <c r="F72" t="s">
        <v>183</v>
      </c>
      <c r="G72" t="s">
        <v>300</v>
      </c>
      <c r="H72" t="s">
        <v>309</v>
      </c>
      <c r="I72" t="s">
        <v>197</v>
      </c>
      <c r="N72" t="s">
        <v>251</v>
      </c>
      <c r="O72" t="s">
        <v>614</v>
      </c>
    </row>
    <row r="73" spans="1:15" x14ac:dyDescent="0.25">
      <c r="A73" t="s">
        <v>325</v>
      </c>
      <c r="D73" t="s">
        <v>195</v>
      </c>
      <c r="F73" t="s">
        <v>183</v>
      </c>
      <c r="G73" t="s">
        <v>300</v>
      </c>
      <c r="I73" t="s">
        <v>197</v>
      </c>
      <c r="J73" t="s">
        <v>268</v>
      </c>
      <c r="L73" t="s">
        <v>184</v>
      </c>
      <c r="M73" t="s">
        <v>182</v>
      </c>
      <c r="N73" t="s">
        <v>251</v>
      </c>
      <c r="O73" t="s">
        <v>615</v>
      </c>
    </row>
    <row r="74" spans="1:15" x14ac:dyDescent="0.25">
      <c r="A74" t="s">
        <v>326</v>
      </c>
      <c r="C74" t="s">
        <v>258</v>
      </c>
      <c r="D74" t="s">
        <v>195</v>
      </c>
      <c r="E74" t="s">
        <v>196</v>
      </c>
      <c r="F74" t="s">
        <v>183</v>
      </c>
      <c r="G74" t="s">
        <v>300</v>
      </c>
      <c r="H74" t="s">
        <v>309</v>
      </c>
      <c r="I74" t="s">
        <v>197</v>
      </c>
      <c r="J74" t="s">
        <v>268</v>
      </c>
      <c r="L74" t="s">
        <v>184</v>
      </c>
      <c r="M74" t="s">
        <v>182</v>
      </c>
      <c r="N74" t="s">
        <v>251</v>
      </c>
      <c r="O74" t="s">
        <v>613</v>
      </c>
    </row>
    <row r="75" spans="1:15" x14ac:dyDescent="0.25">
      <c r="A75" t="s">
        <v>327</v>
      </c>
      <c r="J75" t="s">
        <v>268</v>
      </c>
      <c r="N75" t="s">
        <v>251</v>
      </c>
      <c r="O75" t="s">
        <v>612</v>
      </c>
    </row>
    <row r="76" spans="1:15" x14ac:dyDescent="0.25">
      <c r="A76" t="s">
        <v>328</v>
      </c>
      <c r="D76" t="s">
        <v>195</v>
      </c>
      <c r="O76" t="s">
        <v>195</v>
      </c>
    </row>
    <row r="77" spans="1:15" x14ac:dyDescent="0.25">
      <c r="A77" t="s">
        <v>329</v>
      </c>
      <c r="G77" t="s">
        <v>300</v>
      </c>
      <c r="H77" t="s">
        <v>309</v>
      </c>
      <c r="O77" t="s">
        <v>611</v>
      </c>
    </row>
    <row r="78" spans="1:15" x14ac:dyDescent="0.25">
      <c r="A78" t="s">
        <v>330</v>
      </c>
      <c r="L78" t="s">
        <v>184</v>
      </c>
      <c r="O78" t="s">
        <v>184</v>
      </c>
    </row>
    <row r="79" spans="1:15" x14ac:dyDescent="0.25">
      <c r="A79" t="s">
        <v>331</v>
      </c>
      <c r="C79" t="s">
        <v>258</v>
      </c>
      <c r="D79" t="s">
        <v>195</v>
      </c>
      <c r="E79" t="s">
        <v>196</v>
      </c>
      <c r="F79" t="s">
        <v>183</v>
      </c>
      <c r="G79" t="s">
        <v>300</v>
      </c>
      <c r="H79" t="s">
        <v>309</v>
      </c>
      <c r="I79" t="s">
        <v>197</v>
      </c>
      <c r="J79" t="s">
        <v>268</v>
      </c>
      <c r="L79" t="s">
        <v>184</v>
      </c>
      <c r="M79" t="s">
        <v>182</v>
      </c>
      <c r="N79" t="s">
        <v>251</v>
      </c>
      <c r="O79" t="s">
        <v>613</v>
      </c>
    </row>
    <row r="80" spans="1:15" x14ac:dyDescent="0.25">
      <c r="A80" t="s">
        <v>332</v>
      </c>
      <c r="N80" t="s">
        <v>251</v>
      </c>
      <c r="O80" t="s">
        <v>251</v>
      </c>
    </row>
    <row r="81" spans="1:15" x14ac:dyDescent="0.25">
      <c r="A81" t="s">
        <v>333</v>
      </c>
      <c r="B81" t="s">
        <v>249</v>
      </c>
      <c r="C81" t="s">
        <v>258</v>
      </c>
      <c r="F81" t="s">
        <v>183</v>
      </c>
      <c r="G81" t="s">
        <v>300</v>
      </c>
      <c r="H81" t="s">
        <v>309</v>
      </c>
      <c r="N81" t="s">
        <v>251</v>
      </c>
      <c r="O81" t="s">
        <v>616</v>
      </c>
    </row>
    <row r="82" spans="1:15" x14ac:dyDescent="0.25">
      <c r="A82" t="s">
        <v>334</v>
      </c>
      <c r="L82" t="s">
        <v>184</v>
      </c>
      <c r="M82" t="s">
        <v>182</v>
      </c>
      <c r="O82" t="s">
        <v>606</v>
      </c>
    </row>
    <row r="83" spans="1:15" x14ac:dyDescent="0.25">
      <c r="A83" t="s">
        <v>335</v>
      </c>
      <c r="C83" t="s">
        <v>258</v>
      </c>
      <c r="D83" t="s">
        <v>195</v>
      </c>
      <c r="E83" t="s">
        <v>196</v>
      </c>
      <c r="F83" t="s">
        <v>183</v>
      </c>
      <c r="G83" t="s">
        <v>300</v>
      </c>
      <c r="H83" t="s">
        <v>309</v>
      </c>
      <c r="I83" t="s">
        <v>197</v>
      </c>
      <c r="J83" t="s">
        <v>268</v>
      </c>
      <c r="L83" t="s">
        <v>184</v>
      </c>
      <c r="M83" t="s">
        <v>182</v>
      </c>
      <c r="N83" t="s">
        <v>251</v>
      </c>
      <c r="O83" t="s">
        <v>613</v>
      </c>
    </row>
    <row r="84" spans="1:15" x14ac:dyDescent="0.25">
      <c r="A84" t="s">
        <v>336</v>
      </c>
      <c r="C84" t="s">
        <v>258</v>
      </c>
      <c r="E84" t="s">
        <v>196</v>
      </c>
      <c r="J84" t="s">
        <v>268</v>
      </c>
      <c r="K84" t="s">
        <v>202</v>
      </c>
      <c r="L84" t="s">
        <v>184</v>
      </c>
      <c r="M84" t="s">
        <v>182</v>
      </c>
      <c r="N84" t="s">
        <v>251</v>
      </c>
      <c r="O84" t="s">
        <v>617</v>
      </c>
    </row>
    <row r="85" spans="1:15" x14ac:dyDescent="0.25">
      <c r="A85" t="s">
        <v>337</v>
      </c>
      <c r="C85" t="s">
        <v>258</v>
      </c>
      <c r="D85" t="s">
        <v>195</v>
      </c>
      <c r="E85" t="s">
        <v>196</v>
      </c>
      <c r="F85" t="s">
        <v>183</v>
      </c>
      <c r="G85" t="s">
        <v>300</v>
      </c>
      <c r="H85" t="s">
        <v>309</v>
      </c>
      <c r="I85" t="s">
        <v>197</v>
      </c>
      <c r="J85" t="s">
        <v>268</v>
      </c>
      <c r="K85" t="s">
        <v>202</v>
      </c>
      <c r="L85" t="s">
        <v>184</v>
      </c>
      <c r="M85" t="s">
        <v>182</v>
      </c>
      <c r="N85" t="s">
        <v>251</v>
      </c>
      <c r="O85" t="s">
        <v>608</v>
      </c>
    </row>
    <row r="86" spans="1:15" x14ac:dyDescent="0.25">
      <c r="A86" t="s">
        <v>338</v>
      </c>
      <c r="C86" t="s">
        <v>258</v>
      </c>
      <c r="D86" t="s">
        <v>195</v>
      </c>
      <c r="E86" t="s">
        <v>196</v>
      </c>
      <c r="F86" t="s">
        <v>183</v>
      </c>
      <c r="G86" t="s">
        <v>300</v>
      </c>
      <c r="H86" t="s">
        <v>309</v>
      </c>
      <c r="I86" t="s">
        <v>197</v>
      </c>
      <c r="J86" t="s">
        <v>268</v>
      </c>
      <c r="L86" t="s">
        <v>184</v>
      </c>
      <c r="M86" t="s">
        <v>182</v>
      </c>
      <c r="N86" t="s">
        <v>251</v>
      </c>
      <c r="O86" t="s">
        <v>613</v>
      </c>
    </row>
    <row r="87" spans="1:15" x14ac:dyDescent="0.25">
      <c r="A87" t="s">
        <v>339</v>
      </c>
      <c r="C87" t="s">
        <v>258</v>
      </c>
      <c r="J87" t="s">
        <v>268</v>
      </c>
      <c r="N87" t="s">
        <v>251</v>
      </c>
      <c r="O87" t="s">
        <v>618</v>
      </c>
    </row>
    <row r="88" spans="1:15" x14ac:dyDescent="0.25">
      <c r="A88" t="s">
        <v>340</v>
      </c>
      <c r="C88" t="s">
        <v>258</v>
      </c>
      <c r="O88" t="s">
        <v>258</v>
      </c>
    </row>
    <row r="89" spans="1:15" x14ac:dyDescent="0.25">
      <c r="A89" t="s">
        <v>341</v>
      </c>
      <c r="C89" t="s">
        <v>258</v>
      </c>
      <c r="E89" t="s">
        <v>196</v>
      </c>
      <c r="J89" t="s">
        <v>268</v>
      </c>
      <c r="K89" t="s">
        <v>202</v>
      </c>
      <c r="L89" t="s">
        <v>184</v>
      </c>
      <c r="M89" t="s">
        <v>182</v>
      </c>
      <c r="N89" t="s">
        <v>251</v>
      </c>
      <c r="O89" t="s">
        <v>617</v>
      </c>
    </row>
    <row r="90" spans="1:15" x14ac:dyDescent="0.25">
      <c r="A90" t="s">
        <v>342</v>
      </c>
      <c r="C90" t="s">
        <v>258</v>
      </c>
      <c r="D90" t="s">
        <v>195</v>
      </c>
      <c r="E90" t="s">
        <v>196</v>
      </c>
      <c r="F90" t="s">
        <v>183</v>
      </c>
      <c r="G90" t="s">
        <v>300</v>
      </c>
      <c r="H90" t="s">
        <v>309</v>
      </c>
      <c r="I90" t="s">
        <v>197</v>
      </c>
      <c r="J90" t="s">
        <v>268</v>
      </c>
      <c r="L90" t="s">
        <v>184</v>
      </c>
      <c r="M90" t="s">
        <v>182</v>
      </c>
      <c r="N90" t="s">
        <v>251</v>
      </c>
      <c r="O90" t="s">
        <v>613</v>
      </c>
    </row>
    <row r="91" spans="1:15" x14ac:dyDescent="0.25">
      <c r="A91" t="s">
        <v>343</v>
      </c>
      <c r="N91" t="s">
        <v>251</v>
      </c>
      <c r="O91" t="s">
        <v>251</v>
      </c>
    </row>
    <row r="92" spans="1:15" x14ac:dyDescent="0.25">
      <c r="A92" t="s">
        <v>344</v>
      </c>
      <c r="C92" t="s">
        <v>258</v>
      </c>
      <c r="D92" t="s">
        <v>195</v>
      </c>
      <c r="F92" t="s">
        <v>183</v>
      </c>
      <c r="G92" t="s">
        <v>300</v>
      </c>
      <c r="H92" t="s">
        <v>309</v>
      </c>
      <c r="I92" t="s">
        <v>197</v>
      </c>
      <c r="J92" t="s">
        <v>268</v>
      </c>
      <c r="L92" t="s">
        <v>184</v>
      </c>
      <c r="M92" t="s">
        <v>182</v>
      </c>
      <c r="N92" t="s">
        <v>251</v>
      </c>
      <c r="O92" t="s">
        <v>607</v>
      </c>
    </row>
    <row r="93" spans="1:15" x14ac:dyDescent="0.25">
      <c r="A93" t="s">
        <v>345</v>
      </c>
      <c r="C93" t="s">
        <v>258</v>
      </c>
      <c r="D93" t="s">
        <v>195</v>
      </c>
      <c r="E93" t="s">
        <v>196</v>
      </c>
      <c r="F93" t="s">
        <v>183</v>
      </c>
      <c r="G93" t="s">
        <v>300</v>
      </c>
      <c r="H93" t="s">
        <v>309</v>
      </c>
      <c r="I93" t="s">
        <v>197</v>
      </c>
      <c r="J93" t="s">
        <v>268</v>
      </c>
      <c r="K93" t="s">
        <v>202</v>
      </c>
      <c r="L93" t="s">
        <v>184</v>
      </c>
      <c r="M93" t="s">
        <v>182</v>
      </c>
      <c r="N93" t="s">
        <v>251</v>
      </c>
      <c r="O93" t="s">
        <v>608</v>
      </c>
    </row>
    <row r="94" spans="1:15" x14ac:dyDescent="0.25">
      <c r="A94" t="s">
        <v>346</v>
      </c>
      <c r="C94" t="s">
        <v>258</v>
      </c>
      <c r="D94" t="s">
        <v>195</v>
      </c>
      <c r="E94" t="s">
        <v>196</v>
      </c>
      <c r="F94" t="s">
        <v>183</v>
      </c>
      <c r="G94" t="s">
        <v>300</v>
      </c>
      <c r="I94" t="s">
        <v>197</v>
      </c>
      <c r="J94" t="s">
        <v>268</v>
      </c>
      <c r="L94" t="s">
        <v>184</v>
      </c>
      <c r="M94" t="s">
        <v>182</v>
      </c>
      <c r="N94" t="s">
        <v>251</v>
      </c>
      <c r="O94" t="s">
        <v>605</v>
      </c>
    </row>
    <row r="95" spans="1:15" x14ac:dyDescent="0.25">
      <c r="A95" t="s">
        <v>347</v>
      </c>
      <c r="C95" t="s">
        <v>258</v>
      </c>
      <c r="E95" t="s">
        <v>196</v>
      </c>
      <c r="O95" t="s">
        <v>619</v>
      </c>
    </row>
    <row r="96" spans="1:15" x14ac:dyDescent="0.25">
      <c r="A96" t="s">
        <v>348</v>
      </c>
      <c r="C96" t="s">
        <v>258</v>
      </c>
      <c r="E96" t="s">
        <v>196</v>
      </c>
      <c r="O96" t="s">
        <v>619</v>
      </c>
    </row>
    <row r="97" spans="1:15" x14ac:dyDescent="0.25">
      <c r="A97" t="s">
        <v>349</v>
      </c>
      <c r="C97" t="s">
        <v>258</v>
      </c>
      <c r="E97" t="s">
        <v>196</v>
      </c>
      <c r="O97" t="s">
        <v>619</v>
      </c>
    </row>
    <row r="98" spans="1:15" x14ac:dyDescent="0.25">
      <c r="A98" t="s">
        <v>350</v>
      </c>
      <c r="C98" t="s">
        <v>258</v>
      </c>
      <c r="E98" t="s">
        <v>196</v>
      </c>
      <c r="O98" t="s">
        <v>619</v>
      </c>
    </row>
    <row r="99" spans="1:15" x14ac:dyDescent="0.25">
      <c r="A99" t="s">
        <v>351</v>
      </c>
      <c r="E99" t="s">
        <v>196</v>
      </c>
      <c r="O99" t="s">
        <v>196</v>
      </c>
    </row>
    <row r="100" spans="1:15" x14ac:dyDescent="0.25">
      <c r="A100" t="s">
        <v>352</v>
      </c>
      <c r="C100" t="s">
        <v>258</v>
      </c>
      <c r="E100" t="s">
        <v>196</v>
      </c>
      <c r="O100" t="s">
        <v>619</v>
      </c>
    </row>
    <row r="101" spans="1:15" x14ac:dyDescent="0.25">
      <c r="A101" t="s">
        <v>353</v>
      </c>
      <c r="C101" t="s">
        <v>258</v>
      </c>
      <c r="E101" t="s">
        <v>196</v>
      </c>
      <c r="O101" t="s">
        <v>619</v>
      </c>
    </row>
    <row r="102" spans="1:15" x14ac:dyDescent="0.25">
      <c r="A102" t="s">
        <v>354</v>
      </c>
      <c r="C102" t="s">
        <v>258</v>
      </c>
      <c r="E102" t="s">
        <v>196</v>
      </c>
      <c r="O102" t="s">
        <v>619</v>
      </c>
    </row>
    <row r="103" spans="1:15" x14ac:dyDescent="0.25">
      <c r="A103" t="s">
        <v>355</v>
      </c>
      <c r="C103" t="s">
        <v>258</v>
      </c>
      <c r="E103" t="s">
        <v>196</v>
      </c>
      <c r="O103" t="s">
        <v>619</v>
      </c>
    </row>
    <row r="104" spans="1:15" x14ac:dyDescent="0.25">
      <c r="A104" t="s">
        <v>356</v>
      </c>
      <c r="C104" t="s">
        <v>258</v>
      </c>
      <c r="E104" t="s">
        <v>196</v>
      </c>
      <c r="O104" t="s">
        <v>619</v>
      </c>
    </row>
    <row r="105" spans="1:15" x14ac:dyDescent="0.25">
      <c r="A105" t="s">
        <v>357</v>
      </c>
      <c r="B105" t="s">
        <v>249</v>
      </c>
      <c r="C105" t="s">
        <v>258</v>
      </c>
      <c r="E105" t="s">
        <v>196</v>
      </c>
      <c r="O105" t="s">
        <v>620</v>
      </c>
    </row>
    <row r="106" spans="1:15" x14ac:dyDescent="0.25">
      <c r="A106" t="s">
        <v>358</v>
      </c>
      <c r="C106" t="s">
        <v>258</v>
      </c>
      <c r="E106" t="s">
        <v>196</v>
      </c>
      <c r="O106" t="s">
        <v>619</v>
      </c>
    </row>
    <row r="107" spans="1:15" x14ac:dyDescent="0.25">
      <c r="A107" t="s">
        <v>359</v>
      </c>
      <c r="C107" t="s">
        <v>258</v>
      </c>
      <c r="E107" t="s">
        <v>196</v>
      </c>
      <c r="O107" t="s">
        <v>619</v>
      </c>
    </row>
    <row r="108" spans="1:15" x14ac:dyDescent="0.25">
      <c r="A108" t="s">
        <v>360</v>
      </c>
      <c r="C108" t="s">
        <v>258</v>
      </c>
      <c r="E108" t="s">
        <v>196</v>
      </c>
      <c r="O108" t="s">
        <v>619</v>
      </c>
    </row>
    <row r="109" spans="1:15" x14ac:dyDescent="0.25">
      <c r="A109" t="s">
        <v>361</v>
      </c>
      <c r="E109" t="s">
        <v>196</v>
      </c>
      <c r="O109" t="s">
        <v>196</v>
      </c>
    </row>
    <row r="110" spans="1:15" x14ac:dyDescent="0.25">
      <c r="A110" t="s">
        <v>362</v>
      </c>
      <c r="B110" t="s">
        <v>249</v>
      </c>
      <c r="C110" t="s">
        <v>258</v>
      </c>
      <c r="N110" t="s">
        <v>251</v>
      </c>
      <c r="O110" t="s">
        <v>621</v>
      </c>
    </row>
    <row r="111" spans="1:15" x14ac:dyDescent="0.25">
      <c r="A111" t="s">
        <v>363</v>
      </c>
      <c r="C111" t="s">
        <v>258</v>
      </c>
      <c r="D111" t="s">
        <v>195</v>
      </c>
      <c r="E111" t="s">
        <v>196</v>
      </c>
      <c r="F111" t="s">
        <v>183</v>
      </c>
      <c r="G111" t="s">
        <v>300</v>
      </c>
      <c r="H111" t="s">
        <v>309</v>
      </c>
      <c r="I111" t="s">
        <v>197</v>
      </c>
      <c r="J111" t="s">
        <v>268</v>
      </c>
      <c r="K111" t="s">
        <v>202</v>
      </c>
      <c r="L111" t="s">
        <v>184</v>
      </c>
      <c r="M111" t="s">
        <v>182</v>
      </c>
      <c r="N111" t="s">
        <v>251</v>
      </c>
      <c r="O111" t="s">
        <v>608</v>
      </c>
    </row>
    <row r="112" spans="1:15" x14ac:dyDescent="0.25">
      <c r="A112" t="s">
        <v>364</v>
      </c>
      <c r="I112" t="s">
        <v>197</v>
      </c>
      <c r="K112" t="s">
        <v>202</v>
      </c>
      <c r="O112" t="s">
        <v>622</v>
      </c>
    </row>
    <row r="113" spans="1:15" x14ac:dyDescent="0.25">
      <c r="A113" t="s">
        <v>365</v>
      </c>
      <c r="E113" t="s">
        <v>196</v>
      </c>
      <c r="G113" t="s">
        <v>300</v>
      </c>
      <c r="H113" t="s">
        <v>309</v>
      </c>
      <c r="O113" t="s">
        <v>623</v>
      </c>
    </row>
    <row r="114" spans="1:15" x14ac:dyDescent="0.25">
      <c r="A114" t="s">
        <v>366</v>
      </c>
      <c r="F114" t="s">
        <v>183</v>
      </c>
      <c r="N114" t="s">
        <v>251</v>
      </c>
      <c r="O114" t="s">
        <v>624</v>
      </c>
    </row>
    <row r="115" spans="1:15" x14ac:dyDescent="0.25">
      <c r="A115" t="s">
        <v>367</v>
      </c>
      <c r="C115" t="s">
        <v>258</v>
      </c>
      <c r="E115" t="s">
        <v>196</v>
      </c>
      <c r="J115" t="s">
        <v>268</v>
      </c>
      <c r="K115" t="s">
        <v>202</v>
      </c>
      <c r="L115" t="s">
        <v>184</v>
      </c>
      <c r="M115" t="s">
        <v>182</v>
      </c>
      <c r="N115" t="s">
        <v>251</v>
      </c>
      <c r="O115" t="s">
        <v>617</v>
      </c>
    </row>
    <row r="116" spans="1:15" x14ac:dyDescent="0.25">
      <c r="A116" t="s">
        <v>368</v>
      </c>
      <c r="C116" t="s">
        <v>258</v>
      </c>
      <c r="J116" t="s">
        <v>268</v>
      </c>
      <c r="N116" t="s">
        <v>251</v>
      </c>
      <c r="O116" t="s">
        <v>618</v>
      </c>
    </row>
    <row r="117" spans="1:15" x14ac:dyDescent="0.25">
      <c r="A117" t="s">
        <v>369</v>
      </c>
      <c r="F117" t="s">
        <v>183</v>
      </c>
      <c r="O117" t="s">
        <v>183</v>
      </c>
    </row>
    <row r="118" spans="1:15" x14ac:dyDescent="0.25">
      <c r="A118" t="s">
        <v>370</v>
      </c>
      <c r="C118" t="s">
        <v>258</v>
      </c>
      <c r="D118" t="s">
        <v>195</v>
      </c>
      <c r="E118" t="s">
        <v>196</v>
      </c>
      <c r="F118" t="s">
        <v>183</v>
      </c>
      <c r="G118" t="s">
        <v>300</v>
      </c>
      <c r="H118" t="s">
        <v>309</v>
      </c>
      <c r="I118" t="s">
        <v>197</v>
      </c>
      <c r="J118" t="s">
        <v>268</v>
      </c>
      <c r="L118" t="s">
        <v>184</v>
      </c>
      <c r="M118" t="s">
        <v>182</v>
      </c>
      <c r="N118" t="s">
        <v>251</v>
      </c>
      <c r="O118" t="s">
        <v>613</v>
      </c>
    </row>
    <row r="119" spans="1:15" x14ac:dyDescent="0.25">
      <c r="A119" t="s">
        <v>371</v>
      </c>
      <c r="C119" t="s">
        <v>258</v>
      </c>
      <c r="D119" t="s">
        <v>195</v>
      </c>
      <c r="E119" t="s">
        <v>196</v>
      </c>
      <c r="F119" t="s">
        <v>183</v>
      </c>
      <c r="G119" t="s">
        <v>300</v>
      </c>
      <c r="H119" t="s">
        <v>309</v>
      </c>
      <c r="I119" t="s">
        <v>197</v>
      </c>
      <c r="J119" t="s">
        <v>268</v>
      </c>
      <c r="L119" t="s">
        <v>184</v>
      </c>
      <c r="M119" t="s">
        <v>182</v>
      </c>
      <c r="N119" t="s">
        <v>251</v>
      </c>
      <c r="O119" t="s">
        <v>613</v>
      </c>
    </row>
    <row r="120" spans="1:15" x14ac:dyDescent="0.25">
      <c r="A120" t="s">
        <v>372</v>
      </c>
      <c r="C120" t="s">
        <v>258</v>
      </c>
      <c r="D120" t="s">
        <v>195</v>
      </c>
      <c r="E120" t="s">
        <v>196</v>
      </c>
      <c r="F120" t="s">
        <v>183</v>
      </c>
      <c r="G120" t="s">
        <v>300</v>
      </c>
      <c r="H120" t="s">
        <v>309</v>
      </c>
      <c r="I120" t="s">
        <v>197</v>
      </c>
      <c r="J120" t="s">
        <v>268</v>
      </c>
      <c r="L120" t="s">
        <v>184</v>
      </c>
      <c r="M120" t="s">
        <v>182</v>
      </c>
      <c r="N120" t="s">
        <v>251</v>
      </c>
      <c r="O120" t="s">
        <v>613</v>
      </c>
    </row>
    <row r="121" spans="1:15" x14ac:dyDescent="0.25">
      <c r="A121" t="s">
        <v>373</v>
      </c>
      <c r="D121" t="s">
        <v>195</v>
      </c>
      <c r="I121" t="s">
        <v>197</v>
      </c>
      <c r="O121" t="s">
        <v>625</v>
      </c>
    </row>
    <row r="122" spans="1:15" x14ac:dyDescent="0.25">
      <c r="A122" t="s">
        <v>374</v>
      </c>
      <c r="C122" t="s">
        <v>258</v>
      </c>
      <c r="D122" t="s">
        <v>195</v>
      </c>
      <c r="E122" t="s">
        <v>196</v>
      </c>
      <c r="F122" t="s">
        <v>183</v>
      </c>
      <c r="G122" t="s">
        <v>300</v>
      </c>
      <c r="H122" t="s">
        <v>309</v>
      </c>
      <c r="I122" t="s">
        <v>197</v>
      </c>
      <c r="J122" t="s">
        <v>268</v>
      </c>
      <c r="L122" t="s">
        <v>184</v>
      </c>
      <c r="M122" t="s">
        <v>182</v>
      </c>
      <c r="N122" t="s">
        <v>251</v>
      </c>
      <c r="O122" t="s">
        <v>613</v>
      </c>
    </row>
    <row r="123" spans="1:15" x14ac:dyDescent="0.25">
      <c r="A123" t="s">
        <v>375</v>
      </c>
      <c r="C123" t="s">
        <v>258</v>
      </c>
      <c r="D123" t="s">
        <v>195</v>
      </c>
      <c r="E123" t="s">
        <v>196</v>
      </c>
      <c r="F123" t="s">
        <v>183</v>
      </c>
      <c r="G123" t="s">
        <v>300</v>
      </c>
      <c r="I123" t="s">
        <v>197</v>
      </c>
      <c r="J123" t="s">
        <v>268</v>
      </c>
      <c r="L123" t="s">
        <v>184</v>
      </c>
      <c r="M123" t="s">
        <v>182</v>
      </c>
      <c r="N123" t="s">
        <v>251</v>
      </c>
      <c r="O123" t="s">
        <v>605</v>
      </c>
    </row>
    <row r="124" spans="1:15" x14ac:dyDescent="0.25">
      <c r="A124" t="s">
        <v>376</v>
      </c>
      <c r="C124" t="s">
        <v>258</v>
      </c>
      <c r="D124" t="s">
        <v>195</v>
      </c>
      <c r="E124" t="s">
        <v>196</v>
      </c>
      <c r="F124" t="s">
        <v>183</v>
      </c>
      <c r="G124" t="s">
        <v>300</v>
      </c>
      <c r="H124" t="s">
        <v>309</v>
      </c>
      <c r="I124" t="s">
        <v>197</v>
      </c>
      <c r="J124" t="s">
        <v>268</v>
      </c>
      <c r="L124" t="s">
        <v>184</v>
      </c>
      <c r="M124" t="s">
        <v>182</v>
      </c>
      <c r="N124" t="s">
        <v>251</v>
      </c>
      <c r="O124" t="s">
        <v>613</v>
      </c>
    </row>
    <row r="125" spans="1:15" x14ac:dyDescent="0.25">
      <c r="A125" t="s">
        <v>377</v>
      </c>
      <c r="J125" t="s">
        <v>268</v>
      </c>
      <c r="N125" t="s">
        <v>251</v>
      </c>
      <c r="O125" t="s">
        <v>612</v>
      </c>
    </row>
    <row r="126" spans="1:15" x14ac:dyDescent="0.25">
      <c r="A126" t="s">
        <v>378</v>
      </c>
      <c r="C126" t="s">
        <v>258</v>
      </c>
      <c r="D126" t="s">
        <v>195</v>
      </c>
      <c r="E126" t="s">
        <v>196</v>
      </c>
      <c r="F126" t="s">
        <v>183</v>
      </c>
      <c r="H126" t="s">
        <v>309</v>
      </c>
      <c r="I126" t="s">
        <v>197</v>
      </c>
      <c r="J126" t="s">
        <v>268</v>
      </c>
      <c r="K126" t="s">
        <v>202</v>
      </c>
      <c r="L126" t="s">
        <v>184</v>
      </c>
      <c r="M126" t="s">
        <v>182</v>
      </c>
      <c r="N126" t="s">
        <v>251</v>
      </c>
      <c r="O126" t="s">
        <v>626</v>
      </c>
    </row>
    <row r="127" spans="1:15" x14ac:dyDescent="0.25">
      <c r="A127" t="s">
        <v>379</v>
      </c>
      <c r="D127" t="s">
        <v>195</v>
      </c>
      <c r="F127" t="s">
        <v>183</v>
      </c>
      <c r="G127" t="s">
        <v>300</v>
      </c>
      <c r="I127" t="s">
        <v>197</v>
      </c>
      <c r="L127" t="s">
        <v>184</v>
      </c>
      <c r="M127" t="s">
        <v>182</v>
      </c>
      <c r="O127" t="s">
        <v>627</v>
      </c>
    </row>
    <row r="128" spans="1:15" x14ac:dyDescent="0.25">
      <c r="A128" t="s">
        <v>380</v>
      </c>
      <c r="C128" t="s">
        <v>258</v>
      </c>
      <c r="D128" t="s">
        <v>195</v>
      </c>
      <c r="E128" t="s">
        <v>196</v>
      </c>
      <c r="F128" t="s">
        <v>183</v>
      </c>
      <c r="G128" t="s">
        <v>300</v>
      </c>
      <c r="H128" t="s">
        <v>309</v>
      </c>
      <c r="I128" t="s">
        <v>197</v>
      </c>
      <c r="J128" t="s">
        <v>268</v>
      </c>
      <c r="L128" t="s">
        <v>184</v>
      </c>
      <c r="M128" t="s">
        <v>182</v>
      </c>
      <c r="N128" t="s">
        <v>251</v>
      </c>
      <c r="O128" t="s">
        <v>613</v>
      </c>
    </row>
    <row r="129" spans="1:15" x14ac:dyDescent="0.25">
      <c r="A129" t="s">
        <v>381</v>
      </c>
      <c r="C129" t="s">
        <v>258</v>
      </c>
      <c r="D129" t="s">
        <v>195</v>
      </c>
      <c r="E129" t="s">
        <v>196</v>
      </c>
      <c r="F129" t="s">
        <v>183</v>
      </c>
      <c r="G129" t="s">
        <v>300</v>
      </c>
      <c r="H129" t="s">
        <v>309</v>
      </c>
      <c r="I129" t="s">
        <v>197</v>
      </c>
      <c r="J129" t="s">
        <v>268</v>
      </c>
      <c r="K129" t="s">
        <v>202</v>
      </c>
      <c r="L129" t="s">
        <v>184</v>
      </c>
      <c r="M129" t="s">
        <v>182</v>
      </c>
      <c r="N129" t="s">
        <v>251</v>
      </c>
      <c r="O129" t="s">
        <v>608</v>
      </c>
    </row>
    <row r="130" spans="1:15" x14ac:dyDescent="0.25">
      <c r="A130" t="s">
        <v>382</v>
      </c>
      <c r="C130" t="s">
        <v>258</v>
      </c>
      <c r="E130" t="s">
        <v>196</v>
      </c>
      <c r="J130" t="s">
        <v>268</v>
      </c>
      <c r="K130" t="s">
        <v>202</v>
      </c>
      <c r="L130" t="s">
        <v>184</v>
      </c>
      <c r="N130" t="s">
        <v>251</v>
      </c>
      <c r="O130" t="s">
        <v>628</v>
      </c>
    </row>
    <row r="131" spans="1:15" x14ac:dyDescent="0.25">
      <c r="A131" t="s">
        <v>383</v>
      </c>
      <c r="C131" t="s">
        <v>258</v>
      </c>
      <c r="E131" t="s">
        <v>196</v>
      </c>
      <c r="O131" t="s">
        <v>619</v>
      </c>
    </row>
    <row r="132" spans="1:15" x14ac:dyDescent="0.25">
      <c r="A132" t="s">
        <v>384</v>
      </c>
      <c r="C132" t="s">
        <v>258</v>
      </c>
      <c r="D132" t="s">
        <v>195</v>
      </c>
      <c r="E132" t="s">
        <v>196</v>
      </c>
      <c r="F132" t="s">
        <v>183</v>
      </c>
      <c r="G132" t="s">
        <v>300</v>
      </c>
      <c r="H132" t="s">
        <v>309</v>
      </c>
      <c r="I132" t="s">
        <v>197</v>
      </c>
      <c r="J132" t="s">
        <v>268</v>
      </c>
      <c r="K132" t="s">
        <v>202</v>
      </c>
      <c r="L132" t="s">
        <v>184</v>
      </c>
      <c r="M132" t="s">
        <v>182</v>
      </c>
      <c r="N132" t="s">
        <v>251</v>
      </c>
      <c r="O132" t="s">
        <v>608</v>
      </c>
    </row>
    <row r="133" spans="1:15" x14ac:dyDescent="0.25">
      <c r="A133" t="s">
        <v>385</v>
      </c>
      <c r="C133" t="s">
        <v>258</v>
      </c>
      <c r="D133" t="s">
        <v>195</v>
      </c>
      <c r="F133" t="s">
        <v>183</v>
      </c>
      <c r="G133" t="s">
        <v>300</v>
      </c>
      <c r="I133" t="s">
        <v>197</v>
      </c>
      <c r="J133" t="s">
        <v>268</v>
      </c>
      <c r="L133" t="s">
        <v>184</v>
      </c>
      <c r="M133" t="s">
        <v>182</v>
      </c>
      <c r="N133" t="s">
        <v>251</v>
      </c>
      <c r="O133" t="s">
        <v>629</v>
      </c>
    </row>
    <row r="134" spans="1:15" x14ac:dyDescent="0.25">
      <c r="A134" t="s">
        <v>386</v>
      </c>
      <c r="N134" t="s">
        <v>251</v>
      </c>
      <c r="O134" t="s">
        <v>251</v>
      </c>
    </row>
    <row r="135" spans="1:15" x14ac:dyDescent="0.25">
      <c r="A135" t="s">
        <v>387</v>
      </c>
      <c r="C135" t="s">
        <v>258</v>
      </c>
      <c r="D135" t="s">
        <v>195</v>
      </c>
      <c r="F135" t="s">
        <v>183</v>
      </c>
      <c r="G135" t="s">
        <v>300</v>
      </c>
      <c r="H135" t="s">
        <v>309</v>
      </c>
      <c r="I135" t="s">
        <v>197</v>
      </c>
      <c r="J135" t="s">
        <v>268</v>
      </c>
      <c r="K135" t="s">
        <v>202</v>
      </c>
      <c r="L135" t="s">
        <v>184</v>
      </c>
      <c r="M135" t="s">
        <v>182</v>
      </c>
      <c r="N135" t="s">
        <v>251</v>
      </c>
      <c r="O135" t="s">
        <v>630</v>
      </c>
    </row>
    <row r="136" spans="1:15" x14ac:dyDescent="0.25">
      <c r="A136" t="s">
        <v>388</v>
      </c>
      <c r="D136" t="s">
        <v>195</v>
      </c>
      <c r="O136" t="s">
        <v>195</v>
      </c>
    </row>
    <row r="137" spans="1:15" x14ac:dyDescent="0.25">
      <c r="A137" t="s">
        <v>389</v>
      </c>
      <c r="E137" t="s">
        <v>196</v>
      </c>
      <c r="G137" t="s">
        <v>300</v>
      </c>
      <c r="O137" t="s">
        <v>631</v>
      </c>
    </row>
    <row r="138" spans="1:15" x14ac:dyDescent="0.25">
      <c r="A138" t="s">
        <v>390</v>
      </c>
      <c r="C138" t="s">
        <v>258</v>
      </c>
      <c r="D138" t="s">
        <v>195</v>
      </c>
      <c r="E138" t="s">
        <v>196</v>
      </c>
      <c r="F138" t="s">
        <v>183</v>
      </c>
      <c r="H138" t="s">
        <v>309</v>
      </c>
      <c r="I138" t="s">
        <v>197</v>
      </c>
      <c r="J138" t="s">
        <v>268</v>
      </c>
      <c r="K138" t="s">
        <v>202</v>
      </c>
      <c r="L138" t="s">
        <v>184</v>
      </c>
      <c r="M138" t="s">
        <v>182</v>
      </c>
      <c r="N138" t="s">
        <v>251</v>
      </c>
      <c r="O138" t="s">
        <v>626</v>
      </c>
    </row>
    <row r="139" spans="1:15" x14ac:dyDescent="0.25">
      <c r="A139" t="s">
        <v>391</v>
      </c>
      <c r="C139" t="s">
        <v>258</v>
      </c>
      <c r="D139" t="s">
        <v>195</v>
      </c>
      <c r="F139" t="s">
        <v>183</v>
      </c>
      <c r="G139" t="s">
        <v>300</v>
      </c>
      <c r="H139" t="s">
        <v>309</v>
      </c>
      <c r="I139" t="s">
        <v>197</v>
      </c>
      <c r="J139" t="s">
        <v>268</v>
      </c>
      <c r="L139" t="s">
        <v>184</v>
      </c>
      <c r="M139" t="s">
        <v>182</v>
      </c>
      <c r="N139" t="s">
        <v>251</v>
      </c>
      <c r="O139" t="s">
        <v>607</v>
      </c>
    </row>
    <row r="140" spans="1:15" x14ac:dyDescent="0.25">
      <c r="A140" t="s">
        <v>392</v>
      </c>
      <c r="C140" t="s">
        <v>258</v>
      </c>
      <c r="K140" t="s">
        <v>202</v>
      </c>
      <c r="O140" t="s">
        <v>632</v>
      </c>
    </row>
    <row r="141" spans="1:15" x14ac:dyDescent="0.25">
      <c r="A141" t="s">
        <v>393</v>
      </c>
      <c r="B141" t="s">
        <v>249</v>
      </c>
      <c r="D141" t="s">
        <v>195</v>
      </c>
      <c r="F141" t="s">
        <v>183</v>
      </c>
      <c r="G141" t="s">
        <v>300</v>
      </c>
      <c r="H141" t="s">
        <v>309</v>
      </c>
      <c r="J141" t="s">
        <v>268</v>
      </c>
      <c r="N141" t="s">
        <v>251</v>
      </c>
      <c r="O141" t="s">
        <v>633</v>
      </c>
    </row>
    <row r="142" spans="1:15" x14ac:dyDescent="0.25">
      <c r="A142" t="s">
        <v>394</v>
      </c>
      <c r="F142" t="s">
        <v>183</v>
      </c>
      <c r="G142" t="s">
        <v>300</v>
      </c>
      <c r="H142" t="s">
        <v>309</v>
      </c>
      <c r="I142" t="s">
        <v>197</v>
      </c>
      <c r="K142" t="s">
        <v>202</v>
      </c>
      <c r="O142" t="s">
        <v>634</v>
      </c>
    </row>
    <row r="143" spans="1:15" x14ac:dyDescent="0.25">
      <c r="A143" t="s">
        <v>395</v>
      </c>
      <c r="D143" t="s">
        <v>195</v>
      </c>
      <c r="F143" t="s">
        <v>183</v>
      </c>
      <c r="I143" t="s">
        <v>197</v>
      </c>
      <c r="K143" t="s">
        <v>202</v>
      </c>
      <c r="N143" t="s">
        <v>251</v>
      </c>
      <c r="O143" t="s">
        <v>635</v>
      </c>
    </row>
    <row r="144" spans="1:15" x14ac:dyDescent="0.25">
      <c r="A144" t="s">
        <v>396</v>
      </c>
      <c r="F144" t="s">
        <v>183</v>
      </c>
      <c r="O144" t="s">
        <v>183</v>
      </c>
    </row>
    <row r="145" spans="1:15" x14ac:dyDescent="0.25">
      <c r="A145" t="s">
        <v>397</v>
      </c>
      <c r="K145" t="s">
        <v>202</v>
      </c>
      <c r="O145" t="s">
        <v>202</v>
      </c>
    </row>
    <row r="146" spans="1:15" x14ac:dyDescent="0.25">
      <c r="A146" t="s">
        <v>398</v>
      </c>
      <c r="C146" t="s">
        <v>258</v>
      </c>
      <c r="E146" t="s">
        <v>196</v>
      </c>
      <c r="F146" t="s">
        <v>183</v>
      </c>
      <c r="G146" t="s">
        <v>300</v>
      </c>
      <c r="O146" t="s">
        <v>636</v>
      </c>
    </row>
    <row r="147" spans="1:15" x14ac:dyDescent="0.25">
      <c r="A147" t="s">
        <v>399</v>
      </c>
      <c r="C147" t="s">
        <v>258</v>
      </c>
      <c r="D147" t="s">
        <v>195</v>
      </c>
      <c r="E147" t="s">
        <v>196</v>
      </c>
      <c r="F147" t="s">
        <v>183</v>
      </c>
      <c r="G147" t="s">
        <v>300</v>
      </c>
      <c r="H147" t="s">
        <v>309</v>
      </c>
      <c r="I147" t="s">
        <v>197</v>
      </c>
      <c r="J147" t="s">
        <v>268</v>
      </c>
      <c r="K147" t="s">
        <v>202</v>
      </c>
      <c r="L147" t="s">
        <v>184</v>
      </c>
      <c r="M147" t="s">
        <v>182</v>
      </c>
      <c r="N147" t="s">
        <v>251</v>
      </c>
      <c r="O147" t="s">
        <v>608</v>
      </c>
    </row>
    <row r="148" spans="1:15" x14ac:dyDescent="0.25">
      <c r="A148" t="s">
        <v>400</v>
      </c>
      <c r="C148" t="s">
        <v>258</v>
      </c>
      <c r="E148" t="s">
        <v>196</v>
      </c>
      <c r="F148" t="s">
        <v>183</v>
      </c>
      <c r="H148" t="s">
        <v>309</v>
      </c>
      <c r="O148" t="s">
        <v>637</v>
      </c>
    </row>
    <row r="149" spans="1:15" x14ac:dyDescent="0.25">
      <c r="A149" t="s">
        <v>401</v>
      </c>
      <c r="B149" t="s">
        <v>249</v>
      </c>
      <c r="C149" t="s">
        <v>258</v>
      </c>
      <c r="D149" t="s">
        <v>195</v>
      </c>
      <c r="E149" t="s">
        <v>196</v>
      </c>
      <c r="F149" t="s">
        <v>183</v>
      </c>
      <c r="G149" t="s">
        <v>300</v>
      </c>
      <c r="H149" t="s">
        <v>309</v>
      </c>
      <c r="I149" t="s">
        <v>197</v>
      </c>
      <c r="J149" t="s">
        <v>268</v>
      </c>
      <c r="K149" t="s">
        <v>202</v>
      </c>
      <c r="L149" t="s">
        <v>184</v>
      </c>
      <c r="M149" t="s">
        <v>182</v>
      </c>
      <c r="N149" t="s">
        <v>251</v>
      </c>
      <c r="O149" t="s">
        <v>638</v>
      </c>
    </row>
    <row r="150" spans="1:15" x14ac:dyDescent="0.25">
      <c r="A150" t="s">
        <v>402</v>
      </c>
      <c r="D150" t="s">
        <v>195</v>
      </c>
      <c r="O150" t="s">
        <v>195</v>
      </c>
    </row>
    <row r="151" spans="1:15" x14ac:dyDescent="0.25">
      <c r="A151" t="s">
        <v>403</v>
      </c>
      <c r="C151" t="s">
        <v>258</v>
      </c>
      <c r="D151" t="s">
        <v>195</v>
      </c>
      <c r="E151" t="s">
        <v>196</v>
      </c>
      <c r="F151" t="s">
        <v>183</v>
      </c>
      <c r="G151" t="s">
        <v>300</v>
      </c>
      <c r="I151" t="s">
        <v>197</v>
      </c>
      <c r="J151" t="s">
        <v>268</v>
      </c>
      <c r="L151" t="s">
        <v>184</v>
      </c>
      <c r="M151" t="s">
        <v>182</v>
      </c>
      <c r="N151" t="s">
        <v>251</v>
      </c>
      <c r="O151" t="s">
        <v>605</v>
      </c>
    </row>
    <row r="152" spans="1:15" x14ac:dyDescent="0.25">
      <c r="A152" t="s">
        <v>404</v>
      </c>
      <c r="C152" t="s">
        <v>258</v>
      </c>
      <c r="D152" t="s">
        <v>195</v>
      </c>
      <c r="F152" t="s">
        <v>183</v>
      </c>
      <c r="H152" t="s">
        <v>309</v>
      </c>
      <c r="I152" t="s">
        <v>197</v>
      </c>
      <c r="J152" t="s">
        <v>268</v>
      </c>
      <c r="L152" t="s">
        <v>184</v>
      </c>
      <c r="M152" t="s">
        <v>182</v>
      </c>
      <c r="N152" t="s">
        <v>251</v>
      </c>
      <c r="O152" t="s">
        <v>639</v>
      </c>
    </row>
    <row r="153" spans="1:15" x14ac:dyDescent="0.25">
      <c r="A153" t="s">
        <v>405</v>
      </c>
      <c r="C153" t="s">
        <v>258</v>
      </c>
      <c r="E153" t="s">
        <v>196</v>
      </c>
      <c r="L153" t="s">
        <v>184</v>
      </c>
      <c r="M153" t="s">
        <v>182</v>
      </c>
      <c r="N153" t="s">
        <v>251</v>
      </c>
      <c r="O153" t="s">
        <v>640</v>
      </c>
    </row>
    <row r="154" spans="1:15" x14ac:dyDescent="0.25">
      <c r="A154" t="s">
        <v>406</v>
      </c>
      <c r="D154" t="s">
        <v>195</v>
      </c>
      <c r="F154" t="s">
        <v>183</v>
      </c>
      <c r="G154" t="s">
        <v>300</v>
      </c>
      <c r="H154" t="s">
        <v>309</v>
      </c>
      <c r="O154" t="s">
        <v>641</v>
      </c>
    </row>
    <row r="155" spans="1:15" x14ac:dyDescent="0.25">
      <c r="A155" t="s">
        <v>407</v>
      </c>
      <c r="B155" t="s">
        <v>249</v>
      </c>
      <c r="D155" t="s">
        <v>195</v>
      </c>
      <c r="F155" t="s">
        <v>183</v>
      </c>
      <c r="G155" t="s">
        <v>300</v>
      </c>
      <c r="I155" t="s">
        <v>197</v>
      </c>
      <c r="N155" t="s">
        <v>251</v>
      </c>
      <c r="O155" t="s">
        <v>642</v>
      </c>
    </row>
    <row r="156" spans="1:15" x14ac:dyDescent="0.25">
      <c r="A156" t="s">
        <v>408</v>
      </c>
      <c r="D156" t="s">
        <v>195</v>
      </c>
      <c r="F156" t="s">
        <v>183</v>
      </c>
      <c r="I156" t="s">
        <v>197</v>
      </c>
      <c r="J156" t="s">
        <v>268</v>
      </c>
      <c r="O156" t="s">
        <v>643</v>
      </c>
    </row>
    <row r="157" spans="1:15" x14ac:dyDescent="0.25">
      <c r="A157" t="s">
        <v>409</v>
      </c>
      <c r="N157" t="s">
        <v>251</v>
      </c>
      <c r="O157" t="s">
        <v>251</v>
      </c>
    </row>
    <row r="158" spans="1:15" x14ac:dyDescent="0.25">
      <c r="A158" t="s">
        <v>410</v>
      </c>
      <c r="C158" t="s">
        <v>258</v>
      </c>
      <c r="D158" t="s">
        <v>195</v>
      </c>
      <c r="E158" t="s">
        <v>196</v>
      </c>
      <c r="F158" t="s">
        <v>183</v>
      </c>
      <c r="G158" t="s">
        <v>300</v>
      </c>
      <c r="H158" t="s">
        <v>309</v>
      </c>
      <c r="I158" t="s">
        <v>197</v>
      </c>
      <c r="J158" t="s">
        <v>268</v>
      </c>
      <c r="L158" t="s">
        <v>184</v>
      </c>
      <c r="M158" t="s">
        <v>182</v>
      </c>
      <c r="N158" t="s">
        <v>251</v>
      </c>
      <c r="O158" t="s">
        <v>613</v>
      </c>
    </row>
    <row r="159" spans="1:15" x14ac:dyDescent="0.25">
      <c r="A159" t="s">
        <v>411</v>
      </c>
      <c r="C159" t="s">
        <v>258</v>
      </c>
      <c r="E159" t="s">
        <v>196</v>
      </c>
      <c r="J159" t="s">
        <v>268</v>
      </c>
      <c r="K159" t="s">
        <v>202</v>
      </c>
      <c r="L159" t="s">
        <v>184</v>
      </c>
      <c r="M159" t="s">
        <v>182</v>
      </c>
      <c r="N159" t="s">
        <v>251</v>
      </c>
      <c r="O159" t="s">
        <v>617</v>
      </c>
    </row>
    <row r="160" spans="1:15" x14ac:dyDescent="0.25">
      <c r="A160" t="s">
        <v>412</v>
      </c>
      <c r="D160" t="s">
        <v>195</v>
      </c>
      <c r="E160" t="s">
        <v>196</v>
      </c>
      <c r="F160" t="s">
        <v>183</v>
      </c>
      <c r="G160" t="s">
        <v>300</v>
      </c>
      <c r="I160" t="s">
        <v>197</v>
      </c>
      <c r="K160" t="s">
        <v>202</v>
      </c>
      <c r="L160" t="s">
        <v>184</v>
      </c>
      <c r="M160" t="s">
        <v>182</v>
      </c>
      <c r="O160" t="s">
        <v>644</v>
      </c>
    </row>
    <row r="161" spans="1:15" x14ac:dyDescent="0.25">
      <c r="A161" t="s">
        <v>413</v>
      </c>
      <c r="N161" t="s">
        <v>251</v>
      </c>
      <c r="O161" t="s">
        <v>251</v>
      </c>
    </row>
    <row r="162" spans="1:15" x14ac:dyDescent="0.25">
      <c r="A162" t="s">
        <v>414</v>
      </c>
      <c r="F162" t="s">
        <v>183</v>
      </c>
      <c r="I162" t="s">
        <v>197</v>
      </c>
      <c r="J162" t="s">
        <v>268</v>
      </c>
      <c r="N162" t="s">
        <v>251</v>
      </c>
      <c r="O162" t="s">
        <v>645</v>
      </c>
    </row>
    <row r="163" spans="1:15" x14ac:dyDescent="0.25">
      <c r="A163" t="s">
        <v>415</v>
      </c>
      <c r="J163" t="s">
        <v>268</v>
      </c>
      <c r="N163" t="s">
        <v>251</v>
      </c>
      <c r="O163" t="s">
        <v>612</v>
      </c>
    </row>
    <row r="164" spans="1:15" x14ac:dyDescent="0.25">
      <c r="A164" t="s">
        <v>416</v>
      </c>
      <c r="C164" t="s">
        <v>258</v>
      </c>
      <c r="D164" t="s">
        <v>195</v>
      </c>
      <c r="E164" t="s">
        <v>196</v>
      </c>
      <c r="F164" t="s">
        <v>183</v>
      </c>
      <c r="G164" t="s">
        <v>300</v>
      </c>
      <c r="H164" t="s">
        <v>309</v>
      </c>
      <c r="I164" t="s">
        <v>197</v>
      </c>
      <c r="J164" t="s">
        <v>268</v>
      </c>
      <c r="L164" t="s">
        <v>184</v>
      </c>
      <c r="M164" t="s">
        <v>182</v>
      </c>
      <c r="N164" t="s">
        <v>251</v>
      </c>
      <c r="O164" t="s">
        <v>613</v>
      </c>
    </row>
    <row r="165" spans="1:15" x14ac:dyDescent="0.25">
      <c r="A165" t="s">
        <v>417</v>
      </c>
      <c r="C165" t="s">
        <v>258</v>
      </c>
      <c r="D165" t="s">
        <v>195</v>
      </c>
      <c r="F165" t="s">
        <v>183</v>
      </c>
      <c r="G165" t="s">
        <v>300</v>
      </c>
      <c r="I165" t="s">
        <v>197</v>
      </c>
      <c r="J165" t="s">
        <v>268</v>
      </c>
      <c r="L165" t="s">
        <v>184</v>
      </c>
      <c r="M165" t="s">
        <v>182</v>
      </c>
      <c r="N165" t="s">
        <v>251</v>
      </c>
      <c r="O165" t="s">
        <v>629</v>
      </c>
    </row>
    <row r="166" spans="1:15" x14ac:dyDescent="0.25">
      <c r="A166" t="s">
        <v>418</v>
      </c>
      <c r="C166" t="s">
        <v>258</v>
      </c>
      <c r="D166" t="s">
        <v>195</v>
      </c>
      <c r="E166" t="s">
        <v>196</v>
      </c>
      <c r="F166" t="s">
        <v>183</v>
      </c>
      <c r="G166" t="s">
        <v>300</v>
      </c>
      <c r="H166" t="s">
        <v>309</v>
      </c>
      <c r="I166" t="s">
        <v>197</v>
      </c>
      <c r="J166" t="s">
        <v>268</v>
      </c>
      <c r="K166" t="s">
        <v>202</v>
      </c>
      <c r="L166" t="s">
        <v>184</v>
      </c>
      <c r="M166" t="s">
        <v>182</v>
      </c>
      <c r="N166" t="s">
        <v>251</v>
      </c>
      <c r="O166" t="s">
        <v>608</v>
      </c>
    </row>
    <row r="167" spans="1:15" x14ac:dyDescent="0.25">
      <c r="A167" t="s">
        <v>419</v>
      </c>
      <c r="G167" t="s">
        <v>300</v>
      </c>
      <c r="H167" t="s">
        <v>309</v>
      </c>
      <c r="O167" t="s">
        <v>611</v>
      </c>
    </row>
    <row r="168" spans="1:15" x14ac:dyDescent="0.25">
      <c r="A168" t="s">
        <v>420</v>
      </c>
      <c r="D168" t="s">
        <v>195</v>
      </c>
      <c r="G168" t="s">
        <v>300</v>
      </c>
      <c r="I168" t="s">
        <v>197</v>
      </c>
      <c r="J168" t="s">
        <v>268</v>
      </c>
      <c r="K168" t="s">
        <v>202</v>
      </c>
      <c r="N168" t="s">
        <v>251</v>
      </c>
      <c r="O168" t="s">
        <v>646</v>
      </c>
    </row>
    <row r="169" spans="1:15" x14ac:dyDescent="0.25">
      <c r="A169" t="s">
        <v>421</v>
      </c>
      <c r="C169" t="s">
        <v>258</v>
      </c>
      <c r="D169" t="s">
        <v>195</v>
      </c>
      <c r="E169" t="s">
        <v>196</v>
      </c>
      <c r="F169" t="s">
        <v>183</v>
      </c>
      <c r="H169" t="s">
        <v>309</v>
      </c>
      <c r="I169" t="s">
        <v>197</v>
      </c>
      <c r="J169" t="s">
        <v>268</v>
      </c>
      <c r="L169" t="s">
        <v>184</v>
      </c>
      <c r="M169" t="s">
        <v>182</v>
      </c>
      <c r="N169" t="s">
        <v>251</v>
      </c>
      <c r="O169" t="s">
        <v>647</v>
      </c>
    </row>
    <row r="170" spans="1:15" x14ac:dyDescent="0.25">
      <c r="A170" t="s">
        <v>422</v>
      </c>
      <c r="C170" t="s">
        <v>258</v>
      </c>
      <c r="D170" t="s">
        <v>195</v>
      </c>
      <c r="E170" t="s">
        <v>196</v>
      </c>
      <c r="F170" t="s">
        <v>183</v>
      </c>
      <c r="G170" t="s">
        <v>300</v>
      </c>
      <c r="H170" t="s">
        <v>309</v>
      </c>
      <c r="I170" t="s">
        <v>197</v>
      </c>
      <c r="J170" t="s">
        <v>268</v>
      </c>
      <c r="K170" t="s">
        <v>202</v>
      </c>
      <c r="L170" t="s">
        <v>184</v>
      </c>
      <c r="M170" t="s">
        <v>182</v>
      </c>
      <c r="N170" t="s">
        <v>251</v>
      </c>
      <c r="O170" t="s">
        <v>608</v>
      </c>
    </row>
    <row r="171" spans="1:15" x14ac:dyDescent="0.25">
      <c r="A171" t="s">
        <v>423</v>
      </c>
      <c r="B171" t="s">
        <v>249</v>
      </c>
      <c r="C171" t="s">
        <v>258</v>
      </c>
      <c r="D171" t="s">
        <v>195</v>
      </c>
      <c r="F171" t="s">
        <v>183</v>
      </c>
      <c r="G171" t="s">
        <v>300</v>
      </c>
      <c r="H171" t="s">
        <v>309</v>
      </c>
      <c r="J171" t="s">
        <v>268</v>
      </c>
      <c r="N171" t="s">
        <v>251</v>
      </c>
      <c r="O171" t="s">
        <v>648</v>
      </c>
    </row>
    <row r="172" spans="1:15" x14ac:dyDescent="0.25">
      <c r="A172" t="s">
        <v>424</v>
      </c>
      <c r="C172" t="s">
        <v>258</v>
      </c>
      <c r="D172" t="s">
        <v>195</v>
      </c>
      <c r="E172" t="s">
        <v>196</v>
      </c>
      <c r="F172" t="s">
        <v>183</v>
      </c>
      <c r="G172" t="s">
        <v>300</v>
      </c>
      <c r="H172" t="s">
        <v>309</v>
      </c>
      <c r="I172" t="s">
        <v>197</v>
      </c>
      <c r="J172" t="s">
        <v>268</v>
      </c>
      <c r="K172" t="s">
        <v>202</v>
      </c>
      <c r="L172" t="s">
        <v>184</v>
      </c>
      <c r="M172" t="s">
        <v>182</v>
      </c>
      <c r="N172" t="s">
        <v>251</v>
      </c>
      <c r="O172" t="s">
        <v>608</v>
      </c>
    </row>
    <row r="173" spans="1:15" x14ac:dyDescent="0.25">
      <c r="A173" t="s">
        <v>425</v>
      </c>
      <c r="E173" t="s">
        <v>196</v>
      </c>
      <c r="O173" t="s">
        <v>196</v>
      </c>
    </row>
    <row r="174" spans="1:15" x14ac:dyDescent="0.25">
      <c r="A174" t="s">
        <v>426</v>
      </c>
      <c r="C174" t="s">
        <v>258</v>
      </c>
      <c r="O174" t="s">
        <v>258</v>
      </c>
    </row>
    <row r="175" spans="1:15" x14ac:dyDescent="0.25">
      <c r="A175" t="s">
        <v>427</v>
      </c>
      <c r="B175" t="s">
        <v>249</v>
      </c>
      <c r="D175" t="s">
        <v>195</v>
      </c>
      <c r="F175" t="s">
        <v>183</v>
      </c>
      <c r="G175" t="s">
        <v>300</v>
      </c>
      <c r="H175" t="s">
        <v>309</v>
      </c>
      <c r="N175" t="s">
        <v>251</v>
      </c>
      <c r="O175" t="s">
        <v>649</v>
      </c>
    </row>
    <row r="176" spans="1:15" x14ac:dyDescent="0.25">
      <c r="A176" t="s">
        <v>428</v>
      </c>
      <c r="C176" t="s">
        <v>258</v>
      </c>
      <c r="D176" t="s">
        <v>195</v>
      </c>
      <c r="F176" t="s">
        <v>183</v>
      </c>
      <c r="G176" t="s">
        <v>300</v>
      </c>
      <c r="H176" t="s">
        <v>309</v>
      </c>
      <c r="I176" t="s">
        <v>197</v>
      </c>
      <c r="J176" t="s">
        <v>268</v>
      </c>
      <c r="L176" t="s">
        <v>184</v>
      </c>
      <c r="M176" t="s">
        <v>182</v>
      </c>
      <c r="N176" t="s">
        <v>251</v>
      </c>
      <c r="O176" t="s">
        <v>607</v>
      </c>
    </row>
    <row r="177" spans="1:15" x14ac:dyDescent="0.25">
      <c r="A177" t="s">
        <v>429</v>
      </c>
      <c r="D177" t="s">
        <v>195</v>
      </c>
      <c r="F177" t="s">
        <v>183</v>
      </c>
      <c r="G177" t="s">
        <v>300</v>
      </c>
      <c r="H177" t="s">
        <v>309</v>
      </c>
      <c r="I177" t="s">
        <v>197</v>
      </c>
      <c r="L177" t="s">
        <v>184</v>
      </c>
      <c r="M177" t="s">
        <v>182</v>
      </c>
      <c r="N177" t="s">
        <v>251</v>
      </c>
      <c r="O177" t="s">
        <v>650</v>
      </c>
    </row>
    <row r="178" spans="1:15" x14ac:dyDescent="0.25">
      <c r="A178" t="s">
        <v>430</v>
      </c>
      <c r="B178" t="s">
        <v>249</v>
      </c>
      <c r="C178" t="s">
        <v>258</v>
      </c>
      <c r="J178" t="s">
        <v>268</v>
      </c>
      <c r="N178" t="s">
        <v>251</v>
      </c>
      <c r="O178" t="s">
        <v>651</v>
      </c>
    </row>
    <row r="179" spans="1:15" x14ac:dyDescent="0.25">
      <c r="A179" t="s">
        <v>431</v>
      </c>
      <c r="F179" t="s">
        <v>183</v>
      </c>
      <c r="I179" t="s">
        <v>197</v>
      </c>
      <c r="K179" t="s">
        <v>202</v>
      </c>
      <c r="O179" t="s">
        <v>652</v>
      </c>
    </row>
    <row r="180" spans="1:15" x14ac:dyDescent="0.25">
      <c r="A180" t="s">
        <v>432</v>
      </c>
      <c r="C180" t="s">
        <v>258</v>
      </c>
      <c r="D180" t="s">
        <v>195</v>
      </c>
      <c r="F180" t="s">
        <v>183</v>
      </c>
      <c r="G180" t="s">
        <v>300</v>
      </c>
      <c r="I180" t="s">
        <v>197</v>
      </c>
      <c r="J180" t="s">
        <v>268</v>
      </c>
      <c r="L180" t="s">
        <v>184</v>
      </c>
      <c r="M180" t="s">
        <v>182</v>
      </c>
      <c r="N180" t="s">
        <v>251</v>
      </c>
      <c r="O180" t="s">
        <v>629</v>
      </c>
    </row>
    <row r="181" spans="1:15" x14ac:dyDescent="0.25">
      <c r="A181" t="s">
        <v>433</v>
      </c>
      <c r="D181" t="s">
        <v>195</v>
      </c>
      <c r="E181" t="s">
        <v>196</v>
      </c>
      <c r="G181" t="s">
        <v>300</v>
      </c>
      <c r="I181" t="s">
        <v>197</v>
      </c>
      <c r="K181" t="s">
        <v>202</v>
      </c>
      <c r="O181" t="s">
        <v>653</v>
      </c>
    </row>
    <row r="182" spans="1:15" x14ac:dyDescent="0.25">
      <c r="A182" t="s">
        <v>434</v>
      </c>
      <c r="C182" t="s">
        <v>258</v>
      </c>
      <c r="D182" t="s">
        <v>195</v>
      </c>
      <c r="E182" t="s">
        <v>196</v>
      </c>
      <c r="F182" t="s">
        <v>183</v>
      </c>
      <c r="G182" t="s">
        <v>300</v>
      </c>
      <c r="H182" t="s">
        <v>309</v>
      </c>
      <c r="I182" t="s">
        <v>197</v>
      </c>
      <c r="J182" t="s">
        <v>268</v>
      </c>
      <c r="K182" t="s">
        <v>202</v>
      </c>
      <c r="L182" t="s">
        <v>184</v>
      </c>
      <c r="M182" t="s">
        <v>182</v>
      </c>
      <c r="N182" t="s">
        <v>251</v>
      </c>
      <c r="O182" t="s">
        <v>608</v>
      </c>
    </row>
    <row r="183" spans="1:15" x14ac:dyDescent="0.25">
      <c r="A183" t="s">
        <v>435</v>
      </c>
      <c r="G183" t="s">
        <v>300</v>
      </c>
      <c r="O183" t="s">
        <v>300</v>
      </c>
    </row>
    <row r="184" spans="1:15" x14ac:dyDescent="0.25">
      <c r="A184" t="s">
        <v>436</v>
      </c>
      <c r="C184" t="s">
        <v>258</v>
      </c>
      <c r="O184" t="s">
        <v>258</v>
      </c>
    </row>
    <row r="185" spans="1:15" x14ac:dyDescent="0.25">
      <c r="A185" t="s">
        <v>437</v>
      </c>
      <c r="F185" t="s">
        <v>183</v>
      </c>
      <c r="G185" t="s">
        <v>300</v>
      </c>
      <c r="I185" t="s">
        <v>197</v>
      </c>
      <c r="O185" t="s">
        <v>654</v>
      </c>
    </row>
    <row r="186" spans="1:15" x14ac:dyDescent="0.25">
      <c r="A186" t="s">
        <v>438</v>
      </c>
      <c r="F186" t="s">
        <v>183</v>
      </c>
      <c r="H186" t="s">
        <v>309</v>
      </c>
      <c r="I186" t="s">
        <v>197</v>
      </c>
      <c r="O186" t="s">
        <v>655</v>
      </c>
    </row>
    <row r="187" spans="1:15" x14ac:dyDescent="0.25">
      <c r="A187" t="s">
        <v>439</v>
      </c>
      <c r="C187" t="s">
        <v>258</v>
      </c>
      <c r="D187" t="s">
        <v>195</v>
      </c>
      <c r="E187" t="s">
        <v>196</v>
      </c>
      <c r="F187" t="s">
        <v>183</v>
      </c>
      <c r="G187" t="s">
        <v>300</v>
      </c>
      <c r="H187" t="s">
        <v>309</v>
      </c>
      <c r="I187" t="s">
        <v>197</v>
      </c>
      <c r="J187" t="s">
        <v>268</v>
      </c>
      <c r="L187" t="s">
        <v>184</v>
      </c>
      <c r="M187" t="s">
        <v>182</v>
      </c>
      <c r="N187" t="s">
        <v>251</v>
      </c>
      <c r="O187" t="s">
        <v>613</v>
      </c>
    </row>
    <row r="188" spans="1:15" x14ac:dyDescent="0.25">
      <c r="A188" t="s">
        <v>440</v>
      </c>
      <c r="C188" t="s">
        <v>258</v>
      </c>
      <c r="E188" t="s">
        <v>196</v>
      </c>
      <c r="G188" t="s">
        <v>300</v>
      </c>
      <c r="I188" t="s">
        <v>197</v>
      </c>
      <c r="O188" t="s">
        <v>656</v>
      </c>
    </row>
    <row r="189" spans="1:15" x14ac:dyDescent="0.25">
      <c r="A189" t="s">
        <v>441</v>
      </c>
      <c r="C189" t="s">
        <v>258</v>
      </c>
      <c r="D189" t="s">
        <v>195</v>
      </c>
      <c r="F189" t="s">
        <v>183</v>
      </c>
      <c r="G189" t="s">
        <v>300</v>
      </c>
      <c r="H189" t="s">
        <v>309</v>
      </c>
      <c r="I189" t="s">
        <v>197</v>
      </c>
      <c r="J189" t="s">
        <v>268</v>
      </c>
      <c r="L189" t="s">
        <v>184</v>
      </c>
      <c r="M189" t="s">
        <v>182</v>
      </c>
      <c r="N189" t="s">
        <v>251</v>
      </c>
      <c r="O189" t="s">
        <v>607</v>
      </c>
    </row>
    <row r="190" spans="1:15" x14ac:dyDescent="0.25">
      <c r="A190" t="s">
        <v>442</v>
      </c>
      <c r="C190" t="s">
        <v>258</v>
      </c>
      <c r="D190" t="s">
        <v>195</v>
      </c>
      <c r="E190" t="s">
        <v>196</v>
      </c>
      <c r="F190" t="s">
        <v>183</v>
      </c>
      <c r="G190" t="s">
        <v>300</v>
      </c>
      <c r="I190" t="s">
        <v>197</v>
      </c>
      <c r="K190" t="s">
        <v>202</v>
      </c>
      <c r="N190" t="s">
        <v>251</v>
      </c>
      <c r="O190" t="s">
        <v>657</v>
      </c>
    </row>
    <row r="191" spans="1:15" x14ac:dyDescent="0.25">
      <c r="A191" t="s">
        <v>443</v>
      </c>
      <c r="F191" t="s">
        <v>183</v>
      </c>
      <c r="H191" t="s">
        <v>309</v>
      </c>
      <c r="I191" t="s">
        <v>197</v>
      </c>
      <c r="O191" t="s">
        <v>655</v>
      </c>
    </row>
    <row r="192" spans="1:15" x14ac:dyDescent="0.25">
      <c r="A192" t="s">
        <v>444</v>
      </c>
      <c r="C192" t="s">
        <v>258</v>
      </c>
      <c r="D192" t="s">
        <v>195</v>
      </c>
      <c r="E192" t="s">
        <v>196</v>
      </c>
      <c r="F192" t="s">
        <v>183</v>
      </c>
      <c r="H192" t="s">
        <v>309</v>
      </c>
      <c r="I192" t="s">
        <v>197</v>
      </c>
      <c r="J192" t="s">
        <v>268</v>
      </c>
      <c r="K192" t="s">
        <v>202</v>
      </c>
      <c r="L192" t="s">
        <v>184</v>
      </c>
      <c r="M192" t="s">
        <v>182</v>
      </c>
      <c r="N192" t="s">
        <v>251</v>
      </c>
      <c r="O192" t="s">
        <v>626</v>
      </c>
    </row>
    <row r="193" spans="1:15" x14ac:dyDescent="0.25">
      <c r="A193" t="s">
        <v>445</v>
      </c>
      <c r="C193" t="s">
        <v>258</v>
      </c>
      <c r="D193" t="s">
        <v>195</v>
      </c>
      <c r="E193" t="s">
        <v>196</v>
      </c>
      <c r="F193" t="s">
        <v>183</v>
      </c>
      <c r="G193" t="s">
        <v>300</v>
      </c>
      <c r="H193" t="s">
        <v>309</v>
      </c>
      <c r="I193" t="s">
        <v>197</v>
      </c>
      <c r="J193" t="s">
        <v>268</v>
      </c>
      <c r="L193" t="s">
        <v>184</v>
      </c>
      <c r="M193" t="s">
        <v>182</v>
      </c>
      <c r="N193" t="s">
        <v>251</v>
      </c>
      <c r="O193" t="s">
        <v>613</v>
      </c>
    </row>
    <row r="194" spans="1:15" x14ac:dyDescent="0.25">
      <c r="A194" t="s">
        <v>446</v>
      </c>
      <c r="C194" t="s">
        <v>258</v>
      </c>
      <c r="D194" t="s">
        <v>195</v>
      </c>
      <c r="F194" t="s">
        <v>183</v>
      </c>
      <c r="G194" t="s">
        <v>300</v>
      </c>
      <c r="I194" t="s">
        <v>197</v>
      </c>
      <c r="J194" t="s">
        <v>268</v>
      </c>
      <c r="L194" t="s">
        <v>184</v>
      </c>
      <c r="M194" t="s">
        <v>182</v>
      </c>
      <c r="N194" t="s">
        <v>251</v>
      </c>
      <c r="O194" t="s">
        <v>629</v>
      </c>
    </row>
    <row r="195" spans="1:15" x14ac:dyDescent="0.25">
      <c r="A195" t="s">
        <v>447</v>
      </c>
      <c r="C195" t="s">
        <v>258</v>
      </c>
      <c r="D195" t="s">
        <v>195</v>
      </c>
      <c r="E195" t="s">
        <v>196</v>
      </c>
      <c r="F195" t="s">
        <v>183</v>
      </c>
      <c r="I195" t="s">
        <v>197</v>
      </c>
      <c r="J195" t="s">
        <v>268</v>
      </c>
      <c r="K195" t="s">
        <v>202</v>
      </c>
      <c r="L195" t="s">
        <v>184</v>
      </c>
      <c r="M195" t="s">
        <v>182</v>
      </c>
      <c r="O195" t="s">
        <v>658</v>
      </c>
    </row>
    <row r="196" spans="1:15" x14ac:dyDescent="0.25">
      <c r="A196" t="s">
        <v>448</v>
      </c>
      <c r="C196" t="s">
        <v>258</v>
      </c>
      <c r="D196" t="s">
        <v>195</v>
      </c>
      <c r="E196" t="s">
        <v>196</v>
      </c>
      <c r="F196" t="s">
        <v>183</v>
      </c>
      <c r="G196" t="s">
        <v>300</v>
      </c>
      <c r="H196" t="s">
        <v>309</v>
      </c>
      <c r="I196" t="s">
        <v>197</v>
      </c>
      <c r="J196" t="s">
        <v>268</v>
      </c>
      <c r="L196" t="s">
        <v>184</v>
      </c>
      <c r="M196" t="s">
        <v>182</v>
      </c>
      <c r="N196" t="s">
        <v>251</v>
      </c>
      <c r="O196" t="s">
        <v>613</v>
      </c>
    </row>
    <row r="197" spans="1:15" x14ac:dyDescent="0.25">
      <c r="A197" t="s">
        <v>449</v>
      </c>
      <c r="N197" t="s">
        <v>251</v>
      </c>
      <c r="O197" t="s">
        <v>251</v>
      </c>
    </row>
    <row r="198" spans="1:15" x14ac:dyDescent="0.25">
      <c r="A198" t="s">
        <v>450</v>
      </c>
      <c r="C198" t="s">
        <v>258</v>
      </c>
      <c r="D198" t="s">
        <v>195</v>
      </c>
      <c r="E198" t="s">
        <v>196</v>
      </c>
      <c r="F198" t="s">
        <v>183</v>
      </c>
      <c r="G198" t="s">
        <v>300</v>
      </c>
      <c r="H198" t="s">
        <v>309</v>
      </c>
      <c r="I198" t="s">
        <v>197</v>
      </c>
      <c r="J198" t="s">
        <v>268</v>
      </c>
      <c r="K198" t="s">
        <v>202</v>
      </c>
      <c r="L198" t="s">
        <v>184</v>
      </c>
      <c r="M198" t="s">
        <v>182</v>
      </c>
      <c r="N198" t="s">
        <v>251</v>
      </c>
      <c r="O198" t="s">
        <v>608</v>
      </c>
    </row>
    <row r="199" spans="1:15" x14ac:dyDescent="0.25">
      <c r="A199" t="s">
        <v>451</v>
      </c>
      <c r="C199" t="s">
        <v>258</v>
      </c>
      <c r="D199" t="s">
        <v>195</v>
      </c>
      <c r="E199" t="s">
        <v>196</v>
      </c>
      <c r="F199" t="s">
        <v>183</v>
      </c>
      <c r="G199" t="s">
        <v>300</v>
      </c>
      <c r="H199" t="s">
        <v>309</v>
      </c>
      <c r="I199" t="s">
        <v>197</v>
      </c>
      <c r="J199" t="s">
        <v>268</v>
      </c>
      <c r="L199" t="s">
        <v>184</v>
      </c>
      <c r="M199" t="s">
        <v>182</v>
      </c>
      <c r="N199" t="s">
        <v>251</v>
      </c>
      <c r="O199" t="s">
        <v>613</v>
      </c>
    </row>
    <row r="200" spans="1:15" x14ac:dyDescent="0.25">
      <c r="A200" t="s">
        <v>452</v>
      </c>
      <c r="C200" t="s">
        <v>258</v>
      </c>
      <c r="D200" t="s">
        <v>195</v>
      </c>
      <c r="E200" t="s">
        <v>196</v>
      </c>
      <c r="F200" t="s">
        <v>183</v>
      </c>
      <c r="G200" t="s">
        <v>300</v>
      </c>
      <c r="H200" t="s">
        <v>309</v>
      </c>
      <c r="I200" t="s">
        <v>197</v>
      </c>
      <c r="J200" t="s">
        <v>268</v>
      </c>
      <c r="K200" t="s">
        <v>202</v>
      </c>
      <c r="L200" t="s">
        <v>184</v>
      </c>
      <c r="M200" t="s">
        <v>182</v>
      </c>
      <c r="N200" t="s">
        <v>251</v>
      </c>
      <c r="O200" t="s">
        <v>608</v>
      </c>
    </row>
    <row r="201" spans="1:15" x14ac:dyDescent="0.25">
      <c r="A201" t="s">
        <v>453</v>
      </c>
      <c r="C201" t="s">
        <v>258</v>
      </c>
      <c r="D201" t="s">
        <v>195</v>
      </c>
      <c r="E201" t="s">
        <v>196</v>
      </c>
      <c r="I201" t="s">
        <v>197</v>
      </c>
      <c r="J201" t="s">
        <v>268</v>
      </c>
      <c r="K201" t="s">
        <v>202</v>
      </c>
      <c r="O201" t="s">
        <v>659</v>
      </c>
    </row>
    <row r="202" spans="1:15" x14ac:dyDescent="0.25">
      <c r="A202" t="s">
        <v>454</v>
      </c>
      <c r="L202" t="s">
        <v>184</v>
      </c>
      <c r="O202" t="s">
        <v>184</v>
      </c>
    </row>
    <row r="203" spans="1:15" x14ac:dyDescent="0.25">
      <c r="A203" t="s">
        <v>455</v>
      </c>
      <c r="C203" t="s">
        <v>258</v>
      </c>
      <c r="D203" t="s">
        <v>195</v>
      </c>
      <c r="F203" t="s">
        <v>183</v>
      </c>
      <c r="G203" t="s">
        <v>300</v>
      </c>
      <c r="I203" t="s">
        <v>197</v>
      </c>
      <c r="J203" t="s">
        <v>268</v>
      </c>
      <c r="L203" t="s">
        <v>184</v>
      </c>
      <c r="M203" t="s">
        <v>182</v>
      </c>
      <c r="N203" t="s">
        <v>251</v>
      </c>
      <c r="O203" t="s">
        <v>629</v>
      </c>
    </row>
    <row r="204" spans="1:15" x14ac:dyDescent="0.25">
      <c r="A204" t="s">
        <v>456</v>
      </c>
      <c r="C204" t="s">
        <v>258</v>
      </c>
      <c r="D204" t="s">
        <v>195</v>
      </c>
      <c r="E204" t="s">
        <v>196</v>
      </c>
      <c r="F204" t="s">
        <v>183</v>
      </c>
      <c r="G204" t="s">
        <v>300</v>
      </c>
      <c r="H204" t="s">
        <v>309</v>
      </c>
      <c r="I204" t="s">
        <v>197</v>
      </c>
      <c r="J204" t="s">
        <v>268</v>
      </c>
      <c r="K204" t="s">
        <v>202</v>
      </c>
      <c r="L204" t="s">
        <v>184</v>
      </c>
      <c r="M204" t="s">
        <v>182</v>
      </c>
      <c r="N204" t="s">
        <v>251</v>
      </c>
      <c r="O204" t="s">
        <v>608</v>
      </c>
    </row>
    <row r="205" spans="1:15" x14ac:dyDescent="0.25">
      <c r="A205" t="s">
        <v>457</v>
      </c>
      <c r="B205" t="s">
        <v>249</v>
      </c>
      <c r="N205" t="s">
        <v>251</v>
      </c>
      <c r="O205" t="s">
        <v>588</v>
      </c>
    </row>
    <row r="206" spans="1:15" x14ac:dyDescent="0.25">
      <c r="A206" t="s">
        <v>458</v>
      </c>
      <c r="G206" t="s">
        <v>300</v>
      </c>
      <c r="O206" t="s">
        <v>300</v>
      </c>
    </row>
    <row r="207" spans="1:15" x14ac:dyDescent="0.25">
      <c r="A207" t="s">
        <v>459</v>
      </c>
      <c r="K207" t="s">
        <v>202</v>
      </c>
      <c r="O207" t="s">
        <v>202</v>
      </c>
    </row>
    <row r="208" spans="1:15" x14ac:dyDescent="0.25">
      <c r="A208" t="s">
        <v>460</v>
      </c>
      <c r="C208" t="s">
        <v>258</v>
      </c>
      <c r="D208" t="s">
        <v>195</v>
      </c>
      <c r="F208" t="s">
        <v>183</v>
      </c>
      <c r="G208" t="s">
        <v>300</v>
      </c>
      <c r="H208" t="s">
        <v>309</v>
      </c>
      <c r="I208" t="s">
        <v>197</v>
      </c>
      <c r="K208" t="s">
        <v>202</v>
      </c>
      <c r="O208" t="s">
        <v>660</v>
      </c>
    </row>
    <row r="209" spans="1:15" x14ac:dyDescent="0.25">
      <c r="A209" t="s">
        <v>461</v>
      </c>
      <c r="C209" t="s">
        <v>258</v>
      </c>
      <c r="D209" t="s">
        <v>195</v>
      </c>
      <c r="E209" t="s">
        <v>196</v>
      </c>
      <c r="F209" t="s">
        <v>183</v>
      </c>
      <c r="H209" t="s">
        <v>309</v>
      </c>
      <c r="I209" t="s">
        <v>197</v>
      </c>
      <c r="J209" t="s">
        <v>268</v>
      </c>
      <c r="K209" t="s">
        <v>202</v>
      </c>
      <c r="L209" t="s">
        <v>184</v>
      </c>
      <c r="M209" t="s">
        <v>182</v>
      </c>
      <c r="N209" t="s">
        <v>251</v>
      </c>
      <c r="O209" t="s">
        <v>626</v>
      </c>
    </row>
    <row r="210" spans="1:15" x14ac:dyDescent="0.25">
      <c r="A210" t="s">
        <v>462</v>
      </c>
      <c r="C210" t="s">
        <v>258</v>
      </c>
      <c r="D210" t="s">
        <v>195</v>
      </c>
      <c r="E210" t="s">
        <v>196</v>
      </c>
      <c r="F210" t="s">
        <v>183</v>
      </c>
      <c r="G210" t="s">
        <v>300</v>
      </c>
      <c r="I210" t="s">
        <v>197</v>
      </c>
      <c r="J210" t="s">
        <v>268</v>
      </c>
      <c r="L210" t="s">
        <v>184</v>
      </c>
      <c r="M210" t="s">
        <v>182</v>
      </c>
      <c r="N210" t="s">
        <v>251</v>
      </c>
      <c r="O210" t="s">
        <v>605</v>
      </c>
    </row>
    <row r="211" spans="1:15" x14ac:dyDescent="0.25">
      <c r="A211" t="s">
        <v>463</v>
      </c>
      <c r="C211" t="s">
        <v>258</v>
      </c>
      <c r="D211" t="s">
        <v>195</v>
      </c>
      <c r="E211" t="s">
        <v>196</v>
      </c>
      <c r="F211" t="s">
        <v>183</v>
      </c>
      <c r="G211" t="s">
        <v>300</v>
      </c>
      <c r="H211" t="s">
        <v>309</v>
      </c>
      <c r="I211" t="s">
        <v>197</v>
      </c>
      <c r="J211" t="s">
        <v>268</v>
      </c>
      <c r="L211" t="s">
        <v>184</v>
      </c>
      <c r="M211" t="s">
        <v>182</v>
      </c>
      <c r="N211" t="s">
        <v>251</v>
      </c>
      <c r="O211" t="s">
        <v>613</v>
      </c>
    </row>
    <row r="212" spans="1:15" x14ac:dyDescent="0.25">
      <c r="A212" t="s">
        <v>464</v>
      </c>
      <c r="C212" t="s">
        <v>258</v>
      </c>
      <c r="D212" t="s">
        <v>195</v>
      </c>
      <c r="E212" t="s">
        <v>196</v>
      </c>
      <c r="F212" t="s">
        <v>183</v>
      </c>
      <c r="G212" t="s">
        <v>300</v>
      </c>
      <c r="H212" t="s">
        <v>309</v>
      </c>
      <c r="I212" t="s">
        <v>197</v>
      </c>
      <c r="J212" t="s">
        <v>268</v>
      </c>
      <c r="K212" t="s">
        <v>202</v>
      </c>
      <c r="L212" t="s">
        <v>184</v>
      </c>
      <c r="M212" t="s">
        <v>182</v>
      </c>
      <c r="N212" t="s">
        <v>251</v>
      </c>
      <c r="O212" t="s">
        <v>608</v>
      </c>
    </row>
    <row r="213" spans="1:15" x14ac:dyDescent="0.25">
      <c r="A213" t="s">
        <v>465</v>
      </c>
      <c r="C213" t="s">
        <v>258</v>
      </c>
      <c r="D213" t="s">
        <v>195</v>
      </c>
      <c r="E213" t="s">
        <v>196</v>
      </c>
      <c r="F213" t="s">
        <v>183</v>
      </c>
      <c r="G213" t="s">
        <v>300</v>
      </c>
      <c r="I213" t="s">
        <v>197</v>
      </c>
      <c r="J213" t="s">
        <v>268</v>
      </c>
      <c r="L213" t="s">
        <v>184</v>
      </c>
      <c r="M213" t="s">
        <v>182</v>
      </c>
      <c r="N213" t="s">
        <v>251</v>
      </c>
      <c r="O213" t="s">
        <v>605</v>
      </c>
    </row>
    <row r="214" spans="1:15" x14ac:dyDescent="0.25">
      <c r="A214" t="s">
        <v>466</v>
      </c>
      <c r="C214" t="s">
        <v>258</v>
      </c>
      <c r="D214" t="s">
        <v>195</v>
      </c>
      <c r="E214" t="s">
        <v>196</v>
      </c>
      <c r="F214" t="s">
        <v>183</v>
      </c>
      <c r="G214" t="s">
        <v>300</v>
      </c>
      <c r="H214" t="s">
        <v>309</v>
      </c>
      <c r="I214" t="s">
        <v>197</v>
      </c>
      <c r="J214" t="s">
        <v>268</v>
      </c>
      <c r="L214" t="s">
        <v>184</v>
      </c>
      <c r="M214" t="s">
        <v>182</v>
      </c>
      <c r="N214" t="s">
        <v>251</v>
      </c>
      <c r="O214" t="s">
        <v>613</v>
      </c>
    </row>
    <row r="215" spans="1:15" x14ac:dyDescent="0.25">
      <c r="A215" t="s">
        <v>467</v>
      </c>
      <c r="C215" t="s">
        <v>258</v>
      </c>
      <c r="D215" t="s">
        <v>195</v>
      </c>
      <c r="E215" t="s">
        <v>196</v>
      </c>
      <c r="F215" t="s">
        <v>183</v>
      </c>
      <c r="G215" t="s">
        <v>300</v>
      </c>
      <c r="I215" t="s">
        <v>197</v>
      </c>
      <c r="J215" t="s">
        <v>268</v>
      </c>
      <c r="K215" t="s">
        <v>202</v>
      </c>
      <c r="L215" t="s">
        <v>184</v>
      </c>
      <c r="M215" t="s">
        <v>182</v>
      </c>
      <c r="N215" t="s">
        <v>251</v>
      </c>
      <c r="O215" t="s">
        <v>604</v>
      </c>
    </row>
    <row r="216" spans="1:15" x14ac:dyDescent="0.25">
      <c r="A216" t="s">
        <v>468</v>
      </c>
      <c r="F216" t="s">
        <v>183</v>
      </c>
      <c r="G216" t="s">
        <v>300</v>
      </c>
      <c r="H216" t="s">
        <v>309</v>
      </c>
      <c r="I216" t="s">
        <v>197</v>
      </c>
      <c r="O216" t="s">
        <v>661</v>
      </c>
    </row>
    <row r="217" spans="1:15" x14ac:dyDescent="0.25">
      <c r="A217" t="s">
        <v>469</v>
      </c>
      <c r="C217" t="s">
        <v>258</v>
      </c>
      <c r="D217" t="s">
        <v>195</v>
      </c>
      <c r="E217" t="s">
        <v>196</v>
      </c>
      <c r="F217" t="s">
        <v>183</v>
      </c>
      <c r="G217" t="s">
        <v>300</v>
      </c>
      <c r="H217" t="s">
        <v>309</v>
      </c>
      <c r="I217" t="s">
        <v>197</v>
      </c>
      <c r="J217" t="s">
        <v>268</v>
      </c>
      <c r="K217" t="s">
        <v>202</v>
      </c>
      <c r="L217" t="s">
        <v>184</v>
      </c>
      <c r="M217" t="s">
        <v>182</v>
      </c>
      <c r="N217" t="s">
        <v>251</v>
      </c>
      <c r="O217" t="s">
        <v>608</v>
      </c>
    </row>
    <row r="218" spans="1:15" x14ac:dyDescent="0.25">
      <c r="A218" t="s">
        <v>470</v>
      </c>
      <c r="C218" t="s">
        <v>258</v>
      </c>
      <c r="D218" t="s">
        <v>195</v>
      </c>
      <c r="E218" t="s">
        <v>196</v>
      </c>
      <c r="F218" t="s">
        <v>183</v>
      </c>
      <c r="G218" t="s">
        <v>300</v>
      </c>
      <c r="H218" t="s">
        <v>309</v>
      </c>
      <c r="I218" t="s">
        <v>197</v>
      </c>
      <c r="J218" t="s">
        <v>268</v>
      </c>
      <c r="K218" t="s">
        <v>202</v>
      </c>
      <c r="L218" t="s">
        <v>184</v>
      </c>
      <c r="M218" t="s">
        <v>182</v>
      </c>
      <c r="N218" t="s">
        <v>251</v>
      </c>
      <c r="O218" t="s">
        <v>608</v>
      </c>
    </row>
    <row r="219" spans="1:15" x14ac:dyDescent="0.25">
      <c r="A219" t="s">
        <v>471</v>
      </c>
      <c r="C219" t="s">
        <v>258</v>
      </c>
      <c r="D219" t="s">
        <v>195</v>
      </c>
      <c r="F219" t="s">
        <v>183</v>
      </c>
      <c r="H219" t="s">
        <v>309</v>
      </c>
      <c r="I219" t="s">
        <v>197</v>
      </c>
      <c r="J219" t="s">
        <v>268</v>
      </c>
      <c r="L219" t="s">
        <v>184</v>
      </c>
      <c r="M219" t="s">
        <v>182</v>
      </c>
      <c r="N219" t="s">
        <v>251</v>
      </c>
      <c r="O219" t="s">
        <v>639</v>
      </c>
    </row>
    <row r="220" spans="1:15" x14ac:dyDescent="0.25">
      <c r="A220" t="s">
        <v>472</v>
      </c>
      <c r="C220" t="s">
        <v>258</v>
      </c>
      <c r="D220" t="s">
        <v>195</v>
      </c>
      <c r="E220" t="s">
        <v>196</v>
      </c>
      <c r="F220" t="s">
        <v>183</v>
      </c>
      <c r="G220" t="s">
        <v>300</v>
      </c>
      <c r="H220" t="s">
        <v>309</v>
      </c>
      <c r="I220" t="s">
        <v>197</v>
      </c>
      <c r="J220" t="s">
        <v>268</v>
      </c>
      <c r="L220" t="s">
        <v>184</v>
      </c>
      <c r="M220" t="s">
        <v>182</v>
      </c>
      <c r="N220" t="s">
        <v>251</v>
      </c>
      <c r="O220" t="s">
        <v>613</v>
      </c>
    </row>
    <row r="221" spans="1:15" x14ac:dyDescent="0.25">
      <c r="A221" t="s">
        <v>473</v>
      </c>
      <c r="K221" t="s">
        <v>202</v>
      </c>
      <c r="O221" t="s">
        <v>202</v>
      </c>
    </row>
    <row r="222" spans="1:15" x14ac:dyDescent="0.25">
      <c r="A222" t="s">
        <v>474</v>
      </c>
      <c r="C222" t="s">
        <v>258</v>
      </c>
      <c r="D222" t="s">
        <v>195</v>
      </c>
      <c r="E222" t="s">
        <v>196</v>
      </c>
      <c r="F222" t="s">
        <v>183</v>
      </c>
      <c r="G222" t="s">
        <v>300</v>
      </c>
      <c r="H222" t="s">
        <v>309</v>
      </c>
      <c r="I222" t="s">
        <v>197</v>
      </c>
      <c r="J222" t="s">
        <v>268</v>
      </c>
      <c r="K222" t="s">
        <v>202</v>
      </c>
      <c r="L222" t="s">
        <v>184</v>
      </c>
      <c r="M222" t="s">
        <v>182</v>
      </c>
      <c r="N222" t="s">
        <v>251</v>
      </c>
      <c r="O222" t="s">
        <v>608</v>
      </c>
    </row>
    <row r="223" spans="1:15" x14ac:dyDescent="0.25">
      <c r="A223" t="s">
        <v>475</v>
      </c>
      <c r="D223" t="s">
        <v>195</v>
      </c>
      <c r="F223" t="s">
        <v>183</v>
      </c>
      <c r="G223" t="s">
        <v>300</v>
      </c>
      <c r="H223" t="s">
        <v>309</v>
      </c>
      <c r="I223" t="s">
        <v>197</v>
      </c>
      <c r="J223" t="s">
        <v>268</v>
      </c>
      <c r="L223" t="s">
        <v>184</v>
      </c>
      <c r="M223" t="s">
        <v>182</v>
      </c>
      <c r="O223" t="s">
        <v>662</v>
      </c>
    </row>
    <row r="224" spans="1:15" x14ac:dyDescent="0.25">
      <c r="A224" t="s">
        <v>476</v>
      </c>
      <c r="F224" t="s">
        <v>183</v>
      </c>
      <c r="I224" t="s">
        <v>197</v>
      </c>
      <c r="J224" t="s">
        <v>268</v>
      </c>
      <c r="K224" t="s">
        <v>202</v>
      </c>
      <c r="O224" t="s">
        <v>663</v>
      </c>
    </row>
    <row r="225" spans="1:15" x14ac:dyDescent="0.25">
      <c r="A225" t="s">
        <v>477</v>
      </c>
      <c r="C225" t="s">
        <v>258</v>
      </c>
      <c r="D225" t="s">
        <v>195</v>
      </c>
      <c r="E225" t="s">
        <v>196</v>
      </c>
      <c r="F225" t="s">
        <v>183</v>
      </c>
      <c r="H225" t="s">
        <v>309</v>
      </c>
      <c r="M225" t="s">
        <v>182</v>
      </c>
      <c r="N225" t="s">
        <v>251</v>
      </c>
      <c r="O225" t="s">
        <v>664</v>
      </c>
    </row>
    <row r="226" spans="1:15" x14ac:dyDescent="0.25">
      <c r="A226" t="s">
        <v>478</v>
      </c>
      <c r="C226" t="s">
        <v>258</v>
      </c>
      <c r="D226" t="s">
        <v>195</v>
      </c>
      <c r="E226" t="s">
        <v>196</v>
      </c>
      <c r="F226" t="s">
        <v>183</v>
      </c>
      <c r="G226" t="s">
        <v>300</v>
      </c>
      <c r="H226" t="s">
        <v>309</v>
      </c>
      <c r="I226" t="s">
        <v>197</v>
      </c>
      <c r="J226" t="s">
        <v>268</v>
      </c>
      <c r="K226" t="s">
        <v>202</v>
      </c>
      <c r="L226" t="s">
        <v>184</v>
      </c>
      <c r="M226" t="s">
        <v>182</v>
      </c>
      <c r="N226" t="s">
        <v>251</v>
      </c>
      <c r="O226" t="s">
        <v>608</v>
      </c>
    </row>
    <row r="227" spans="1:15" x14ac:dyDescent="0.25">
      <c r="A227" t="s">
        <v>479</v>
      </c>
      <c r="C227" t="s">
        <v>258</v>
      </c>
      <c r="D227" t="s">
        <v>195</v>
      </c>
      <c r="E227" t="s">
        <v>196</v>
      </c>
      <c r="F227" t="s">
        <v>183</v>
      </c>
      <c r="G227" t="s">
        <v>300</v>
      </c>
      <c r="H227" t="s">
        <v>309</v>
      </c>
      <c r="I227" t="s">
        <v>197</v>
      </c>
      <c r="J227" t="s">
        <v>268</v>
      </c>
      <c r="L227" t="s">
        <v>184</v>
      </c>
      <c r="M227" t="s">
        <v>182</v>
      </c>
      <c r="N227" t="s">
        <v>251</v>
      </c>
      <c r="O227" t="s">
        <v>613</v>
      </c>
    </row>
    <row r="228" spans="1:15" x14ac:dyDescent="0.25">
      <c r="A228" t="s">
        <v>480</v>
      </c>
      <c r="C228" t="s">
        <v>258</v>
      </c>
      <c r="D228" t="s">
        <v>195</v>
      </c>
      <c r="E228" t="s">
        <v>196</v>
      </c>
      <c r="F228" t="s">
        <v>183</v>
      </c>
      <c r="G228" t="s">
        <v>300</v>
      </c>
      <c r="H228" t="s">
        <v>309</v>
      </c>
      <c r="I228" t="s">
        <v>197</v>
      </c>
      <c r="J228" t="s">
        <v>268</v>
      </c>
      <c r="K228" t="s">
        <v>202</v>
      </c>
      <c r="L228" t="s">
        <v>184</v>
      </c>
      <c r="M228" t="s">
        <v>182</v>
      </c>
      <c r="N228" t="s">
        <v>251</v>
      </c>
      <c r="O228" t="s">
        <v>608</v>
      </c>
    </row>
    <row r="229" spans="1:15" x14ac:dyDescent="0.25">
      <c r="A229" t="s">
        <v>481</v>
      </c>
      <c r="C229" t="s">
        <v>258</v>
      </c>
      <c r="D229" t="s">
        <v>195</v>
      </c>
      <c r="E229" t="s">
        <v>196</v>
      </c>
      <c r="F229" t="s">
        <v>183</v>
      </c>
      <c r="G229" t="s">
        <v>300</v>
      </c>
      <c r="H229" t="s">
        <v>309</v>
      </c>
      <c r="I229" t="s">
        <v>197</v>
      </c>
      <c r="J229" t="s">
        <v>268</v>
      </c>
      <c r="K229" t="s">
        <v>202</v>
      </c>
      <c r="L229" t="s">
        <v>184</v>
      </c>
      <c r="M229" t="s">
        <v>182</v>
      </c>
      <c r="N229" t="s">
        <v>251</v>
      </c>
      <c r="O229" t="s">
        <v>608</v>
      </c>
    </row>
    <row r="230" spans="1:15" x14ac:dyDescent="0.25">
      <c r="A230" t="s">
        <v>482</v>
      </c>
      <c r="B230" t="s">
        <v>249</v>
      </c>
      <c r="C230" t="s">
        <v>258</v>
      </c>
      <c r="K230" t="s">
        <v>202</v>
      </c>
      <c r="L230" t="s">
        <v>184</v>
      </c>
      <c r="N230" t="s">
        <v>251</v>
      </c>
      <c r="O230" t="s">
        <v>665</v>
      </c>
    </row>
    <row r="231" spans="1:15" x14ac:dyDescent="0.25">
      <c r="A231" t="s">
        <v>483</v>
      </c>
      <c r="C231" t="s">
        <v>258</v>
      </c>
      <c r="D231" t="s">
        <v>195</v>
      </c>
      <c r="E231" t="s">
        <v>196</v>
      </c>
      <c r="F231" t="s">
        <v>183</v>
      </c>
      <c r="G231" t="s">
        <v>300</v>
      </c>
      <c r="I231" t="s">
        <v>197</v>
      </c>
      <c r="J231" t="s">
        <v>268</v>
      </c>
      <c r="L231" t="s">
        <v>184</v>
      </c>
      <c r="M231" t="s">
        <v>182</v>
      </c>
      <c r="N231" t="s">
        <v>251</v>
      </c>
      <c r="O231" t="s">
        <v>605</v>
      </c>
    </row>
    <row r="232" spans="1:15" x14ac:dyDescent="0.25">
      <c r="A232" t="s">
        <v>484</v>
      </c>
      <c r="F232" t="s">
        <v>183</v>
      </c>
      <c r="G232" t="s">
        <v>300</v>
      </c>
      <c r="O232" t="s">
        <v>666</v>
      </c>
    </row>
    <row r="233" spans="1:15" x14ac:dyDescent="0.25">
      <c r="A233" t="s">
        <v>485</v>
      </c>
      <c r="F233" t="s">
        <v>183</v>
      </c>
      <c r="G233" t="s">
        <v>300</v>
      </c>
      <c r="O233" t="s">
        <v>666</v>
      </c>
    </row>
    <row r="234" spans="1:15" x14ac:dyDescent="0.25">
      <c r="A234" t="s">
        <v>486</v>
      </c>
      <c r="F234" t="s">
        <v>183</v>
      </c>
      <c r="G234" t="s">
        <v>300</v>
      </c>
      <c r="O234" t="s">
        <v>666</v>
      </c>
    </row>
    <row r="235" spans="1:15" x14ac:dyDescent="0.25">
      <c r="A235" t="s">
        <v>487</v>
      </c>
      <c r="F235" t="s">
        <v>183</v>
      </c>
      <c r="G235" t="s">
        <v>300</v>
      </c>
      <c r="O235" t="s">
        <v>666</v>
      </c>
    </row>
    <row r="236" spans="1:15" x14ac:dyDescent="0.25">
      <c r="A236" t="s">
        <v>488</v>
      </c>
      <c r="F236" t="s">
        <v>183</v>
      </c>
      <c r="G236" t="s">
        <v>300</v>
      </c>
      <c r="O236" t="s">
        <v>666</v>
      </c>
    </row>
    <row r="237" spans="1:15" x14ac:dyDescent="0.25">
      <c r="A237" t="s">
        <v>489</v>
      </c>
      <c r="F237" t="s">
        <v>183</v>
      </c>
      <c r="G237" t="s">
        <v>300</v>
      </c>
      <c r="O237" t="s">
        <v>666</v>
      </c>
    </row>
    <row r="238" spans="1:15" x14ac:dyDescent="0.25">
      <c r="A238" t="s">
        <v>490</v>
      </c>
      <c r="F238" t="s">
        <v>183</v>
      </c>
      <c r="G238" t="s">
        <v>300</v>
      </c>
      <c r="O238" t="s">
        <v>666</v>
      </c>
    </row>
    <row r="239" spans="1:15" x14ac:dyDescent="0.25">
      <c r="A239" t="s">
        <v>491</v>
      </c>
      <c r="F239" t="s">
        <v>183</v>
      </c>
      <c r="G239" t="s">
        <v>300</v>
      </c>
      <c r="I239" t="s">
        <v>197</v>
      </c>
      <c r="O239" t="s">
        <v>654</v>
      </c>
    </row>
    <row r="240" spans="1:15" x14ac:dyDescent="0.25">
      <c r="A240" t="s">
        <v>492</v>
      </c>
      <c r="F240" t="s">
        <v>183</v>
      </c>
      <c r="G240" t="s">
        <v>300</v>
      </c>
      <c r="O240" t="s">
        <v>666</v>
      </c>
    </row>
    <row r="241" spans="1:15" x14ac:dyDescent="0.25">
      <c r="A241" t="s">
        <v>493</v>
      </c>
      <c r="F241" t="s">
        <v>183</v>
      </c>
      <c r="G241" t="s">
        <v>300</v>
      </c>
      <c r="O241" t="s">
        <v>666</v>
      </c>
    </row>
    <row r="242" spans="1:15" x14ac:dyDescent="0.25">
      <c r="A242" t="s">
        <v>494</v>
      </c>
      <c r="G242" t="s">
        <v>300</v>
      </c>
      <c r="I242" t="s">
        <v>197</v>
      </c>
      <c r="O242" t="s">
        <v>667</v>
      </c>
    </row>
    <row r="243" spans="1:15" x14ac:dyDescent="0.25">
      <c r="A243" t="s">
        <v>495</v>
      </c>
      <c r="F243" t="s">
        <v>183</v>
      </c>
      <c r="G243" t="s">
        <v>300</v>
      </c>
      <c r="O243" t="s">
        <v>666</v>
      </c>
    </row>
    <row r="244" spans="1:15" x14ac:dyDescent="0.25">
      <c r="A244" t="s">
        <v>496</v>
      </c>
      <c r="F244" t="s">
        <v>183</v>
      </c>
      <c r="G244" t="s">
        <v>300</v>
      </c>
      <c r="O244" t="s">
        <v>666</v>
      </c>
    </row>
    <row r="245" spans="1:15" x14ac:dyDescent="0.25">
      <c r="A245" t="s">
        <v>497</v>
      </c>
      <c r="G245" t="s">
        <v>300</v>
      </c>
      <c r="O245" t="s">
        <v>300</v>
      </c>
    </row>
    <row r="246" spans="1:15" x14ac:dyDescent="0.25">
      <c r="A246" t="s">
        <v>498</v>
      </c>
      <c r="G246" t="s">
        <v>300</v>
      </c>
      <c r="O246" t="s">
        <v>300</v>
      </c>
    </row>
    <row r="247" spans="1:15" x14ac:dyDescent="0.25">
      <c r="A247" t="s">
        <v>499</v>
      </c>
      <c r="G247" t="s">
        <v>300</v>
      </c>
      <c r="O247" t="s">
        <v>300</v>
      </c>
    </row>
    <row r="248" spans="1:15" x14ac:dyDescent="0.25">
      <c r="A248" t="s">
        <v>500</v>
      </c>
      <c r="F248" t="s">
        <v>183</v>
      </c>
      <c r="G248" t="s">
        <v>300</v>
      </c>
      <c r="O248" t="s">
        <v>666</v>
      </c>
    </row>
    <row r="249" spans="1:15" x14ac:dyDescent="0.25">
      <c r="A249" t="s">
        <v>501</v>
      </c>
      <c r="F249" t="s">
        <v>183</v>
      </c>
      <c r="G249" t="s">
        <v>300</v>
      </c>
      <c r="O249" t="s">
        <v>666</v>
      </c>
    </row>
    <row r="250" spans="1:15" x14ac:dyDescent="0.25">
      <c r="A250" t="s">
        <v>502</v>
      </c>
      <c r="G250" t="s">
        <v>300</v>
      </c>
      <c r="O250" t="s">
        <v>300</v>
      </c>
    </row>
    <row r="251" spans="1:15" x14ac:dyDescent="0.25">
      <c r="A251" t="s">
        <v>503</v>
      </c>
      <c r="C251" t="s">
        <v>258</v>
      </c>
      <c r="D251" t="s">
        <v>195</v>
      </c>
      <c r="E251" t="s">
        <v>196</v>
      </c>
      <c r="F251" t="s">
        <v>183</v>
      </c>
      <c r="G251" t="s">
        <v>300</v>
      </c>
      <c r="I251" t="s">
        <v>197</v>
      </c>
      <c r="J251" t="s">
        <v>268</v>
      </c>
      <c r="K251" t="s">
        <v>202</v>
      </c>
      <c r="L251" t="s">
        <v>184</v>
      </c>
      <c r="M251" t="s">
        <v>182</v>
      </c>
      <c r="N251" t="s">
        <v>251</v>
      </c>
      <c r="O251" t="s">
        <v>604</v>
      </c>
    </row>
    <row r="252" spans="1:15" x14ac:dyDescent="0.25">
      <c r="A252" t="s">
        <v>504</v>
      </c>
      <c r="B252" t="s">
        <v>249</v>
      </c>
      <c r="C252" t="s">
        <v>258</v>
      </c>
      <c r="D252" t="s">
        <v>195</v>
      </c>
      <c r="F252" t="s">
        <v>183</v>
      </c>
      <c r="G252" t="s">
        <v>300</v>
      </c>
      <c r="H252" t="s">
        <v>309</v>
      </c>
      <c r="I252" t="s">
        <v>197</v>
      </c>
      <c r="N252" t="s">
        <v>251</v>
      </c>
      <c r="O252" t="s">
        <v>668</v>
      </c>
    </row>
    <row r="253" spans="1:15" x14ac:dyDescent="0.25">
      <c r="A253" t="s">
        <v>505</v>
      </c>
      <c r="B253" t="s">
        <v>249</v>
      </c>
      <c r="N253" t="s">
        <v>251</v>
      </c>
      <c r="O253" t="s">
        <v>588</v>
      </c>
    </row>
    <row r="254" spans="1:15" x14ac:dyDescent="0.25">
      <c r="A254" t="s">
        <v>506</v>
      </c>
      <c r="C254" t="s">
        <v>258</v>
      </c>
      <c r="D254" t="s">
        <v>195</v>
      </c>
      <c r="E254" t="s">
        <v>196</v>
      </c>
      <c r="F254" t="s">
        <v>183</v>
      </c>
      <c r="G254" t="s">
        <v>300</v>
      </c>
      <c r="I254" t="s">
        <v>197</v>
      </c>
      <c r="J254" t="s">
        <v>268</v>
      </c>
      <c r="K254" t="s">
        <v>202</v>
      </c>
      <c r="L254" t="s">
        <v>184</v>
      </c>
      <c r="M254" t="s">
        <v>182</v>
      </c>
      <c r="N254" t="s">
        <v>251</v>
      </c>
      <c r="O254" t="s">
        <v>604</v>
      </c>
    </row>
    <row r="255" spans="1:15" x14ac:dyDescent="0.25">
      <c r="A255" t="s">
        <v>507</v>
      </c>
      <c r="C255" t="s">
        <v>258</v>
      </c>
      <c r="I255" t="s">
        <v>197</v>
      </c>
      <c r="M255" t="s">
        <v>182</v>
      </c>
      <c r="N255" t="s">
        <v>251</v>
      </c>
      <c r="O255" t="s">
        <v>669</v>
      </c>
    </row>
    <row r="256" spans="1:15" x14ac:dyDescent="0.25">
      <c r="A256" t="s">
        <v>508</v>
      </c>
      <c r="B256" t="s">
        <v>249</v>
      </c>
      <c r="F256" t="s">
        <v>183</v>
      </c>
      <c r="N256" t="s">
        <v>251</v>
      </c>
      <c r="O256" t="s">
        <v>603</v>
      </c>
    </row>
    <row r="257" spans="1:15" x14ac:dyDescent="0.25">
      <c r="A257" t="s">
        <v>509</v>
      </c>
      <c r="C257" t="s">
        <v>258</v>
      </c>
      <c r="D257" t="s">
        <v>195</v>
      </c>
      <c r="E257" t="s">
        <v>196</v>
      </c>
      <c r="G257" t="s">
        <v>300</v>
      </c>
      <c r="H257" t="s">
        <v>309</v>
      </c>
      <c r="I257" t="s">
        <v>197</v>
      </c>
      <c r="J257" t="s">
        <v>268</v>
      </c>
      <c r="K257" t="s">
        <v>202</v>
      </c>
      <c r="O257" t="s">
        <v>670</v>
      </c>
    </row>
    <row r="258" spans="1:15" x14ac:dyDescent="0.25">
      <c r="A258" t="s">
        <v>510</v>
      </c>
      <c r="B258" t="s">
        <v>249</v>
      </c>
      <c r="C258" t="s">
        <v>258</v>
      </c>
      <c r="F258" t="s">
        <v>183</v>
      </c>
      <c r="G258" t="s">
        <v>300</v>
      </c>
      <c r="H258" t="s">
        <v>309</v>
      </c>
      <c r="N258" t="s">
        <v>251</v>
      </c>
      <c r="O258" t="s">
        <v>616</v>
      </c>
    </row>
    <row r="259" spans="1:15" x14ac:dyDescent="0.25">
      <c r="A259" t="s">
        <v>511</v>
      </c>
      <c r="C259" t="s">
        <v>258</v>
      </c>
      <c r="E259" t="s">
        <v>196</v>
      </c>
      <c r="K259" t="s">
        <v>202</v>
      </c>
      <c r="O259" t="s">
        <v>671</v>
      </c>
    </row>
    <row r="260" spans="1:15" x14ac:dyDescent="0.25">
      <c r="A260" t="s">
        <v>512</v>
      </c>
      <c r="C260" t="s">
        <v>258</v>
      </c>
      <c r="D260" t="s">
        <v>195</v>
      </c>
      <c r="E260" t="s">
        <v>196</v>
      </c>
      <c r="F260" t="s">
        <v>183</v>
      </c>
      <c r="G260" t="s">
        <v>300</v>
      </c>
      <c r="I260" t="s">
        <v>197</v>
      </c>
      <c r="J260" t="s">
        <v>268</v>
      </c>
      <c r="K260" t="s">
        <v>202</v>
      </c>
      <c r="L260" t="s">
        <v>184</v>
      </c>
      <c r="M260" t="s">
        <v>182</v>
      </c>
      <c r="N260" t="s">
        <v>251</v>
      </c>
      <c r="O260" t="s">
        <v>604</v>
      </c>
    </row>
    <row r="261" spans="1:15" x14ac:dyDescent="0.25">
      <c r="A261" t="s">
        <v>513</v>
      </c>
      <c r="C261" t="s">
        <v>258</v>
      </c>
      <c r="D261" t="s">
        <v>195</v>
      </c>
      <c r="E261" t="s">
        <v>196</v>
      </c>
      <c r="F261" t="s">
        <v>183</v>
      </c>
      <c r="G261" t="s">
        <v>300</v>
      </c>
      <c r="H261" t="s">
        <v>309</v>
      </c>
      <c r="I261" t="s">
        <v>197</v>
      </c>
      <c r="J261" t="s">
        <v>268</v>
      </c>
      <c r="L261" t="s">
        <v>184</v>
      </c>
      <c r="M261" t="s">
        <v>182</v>
      </c>
      <c r="N261" t="s">
        <v>251</v>
      </c>
      <c r="O261" t="s">
        <v>613</v>
      </c>
    </row>
    <row r="262" spans="1:15" x14ac:dyDescent="0.25">
      <c r="A262" t="s">
        <v>514</v>
      </c>
      <c r="C262" t="s">
        <v>258</v>
      </c>
      <c r="D262" t="s">
        <v>195</v>
      </c>
      <c r="E262" t="s">
        <v>196</v>
      </c>
      <c r="F262" t="s">
        <v>183</v>
      </c>
      <c r="G262" t="s">
        <v>300</v>
      </c>
      <c r="H262" t="s">
        <v>309</v>
      </c>
      <c r="I262" t="s">
        <v>197</v>
      </c>
      <c r="J262" t="s">
        <v>268</v>
      </c>
      <c r="L262" t="s">
        <v>184</v>
      </c>
      <c r="M262" t="s">
        <v>182</v>
      </c>
      <c r="N262" t="s">
        <v>251</v>
      </c>
      <c r="O262" t="s">
        <v>613</v>
      </c>
    </row>
    <row r="263" spans="1:15" x14ac:dyDescent="0.25">
      <c r="A263" t="s">
        <v>515</v>
      </c>
      <c r="E263" t="s">
        <v>196</v>
      </c>
      <c r="G263" t="s">
        <v>300</v>
      </c>
      <c r="O263" t="s">
        <v>631</v>
      </c>
    </row>
    <row r="264" spans="1:15" x14ac:dyDescent="0.25">
      <c r="A264" t="s">
        <v>516</v>
      </c>
      <c r="B264" t="s">
        <v>249</v>
      </c>
      <c r="D264" t="s">
        <v>195</v>
      </c>
      <c r="F264" t="s">
        <v>183</v>
      </c>
      <c r="G264" t="s">
        <v>300</v>
      </c>
      <c r="H264" t="s">
        <v>309</v>
      </c>
      <c r="I264" t="s">
        <v>197</v>
      </c>
      <c r="N264" t="s">
        <v>251</v>
      </c>
      <c r="O264" t="s">
        <v>614</v>
      </c>
    </row>
    <row r="265" spans="1:15" x14ac:dyDescent="0.25">
      <c r="A265" t="s">
        <v>517</v>
      </c>
      <c r="F265" t="s">
        <v>183</v>
      </c>
      <c r="G265" t="s">
        <v>300</v>
      </c>
      <c r="O265" t="s">
        <v>666</v>
      </c>
    </row>
    <row r="266" spans="1:15" x14ac:dyDescent="0.25">
      <c r="A266" t="s">
        <v>518</v>
      </c>
      <c r="C266" t="s">
        <v>258</v>
      </c>
      <c r="L266" t="s">
        <v>184</v>
      </c>
      <c r="O266" t="s">
        <v>672</v>
      </c>
    </row>
    <row r="267" spans="1:15" x14ac:dyDescent="0.25">
      <c r="A267" t="s">
        <v>519</v>
      </c>
      <c r="B267" t="s">
        <v>249</v>
      </c>
      <c r="F267" t="s">
        <v>183</v>
      </c>
      <c r="G267" t="s">
        <v>300</v>
      </c>
      <c r="H267" t="s">
        <v>309</v>
      </c>
      <c r="J267" t="s">
        <v>268</v>
      </c>
      <c r="N267" t="s">
        <v>251</v>
      </c>
      <c r="O267" t="s">
        <v>673</v>
      </c>
    </row>
    <row r="268" spans="1:15" x14ac:dyDescent="0.25">
      <c r="A268" t="s">
        <v>520</v>
      </c>
      <c r="I268" t="s">
        <v>197</v>
      </c>
      <c r="O268" t="s">
        <v>197</v>
      </c>
    </row>
    <row r="269" spans="1:15" x14ac:dyDescent="0.25">
      <c r="A269" t="s">
        <v>521</v>
      </c>
      <c r="M269" t="s">
        <v>182</v>
      </c>
      <c r="O269" t="s">
        <v>182</v>
      </c>
    </row>
    <row r="270" spans="1:15" x14ac:dyDescent="0.25">
      <c r="A270" t="s">
        <v>522</v>
      </c>
      <c r="M270" t="s">
        <v>182</v>
      </c>
      <c r="O270" t="s">
        <v>182</v>
      </c>
    </row>
    <row r="271" spans="1:15" x14ac:dyDescent="0.25">
      <c r="A271" t="s">
        <v>523</v>
      </c>
      <c r="C271" t="s">
        <v>258</v>
      </c>
      <c r="E271" t="s">
        <v>196</v>
      </c>
      <c r="F271" t="s">
        <v>183</v>
      </c>
      <c r="I271" t="s">
        <v>197</v>
      </c>
      <c r="O271" t="s">
        <v>674</v>
      </c>
    </row>
    <row r="272" spans="1:15" x14ac:dyDescent="0.25">
      <c r="A272" t="s">
        <v>524</v>
      </c>
      <c r="C272" t="s">
        <v>258</v>
      </c>
      <c r="D272" t="s">
        <v>195</v>
      </c>
      <c r="E272" t="s">
        <v>196</v>
      </c>
      <c r="F272" t="s">
        <v>183</v>
      </c>
      <c r="G272" t="s">
        <v>300</v>
      </c>
      <c r="I272" t="s">
        <v>197</v>
      </c>
      <c r="J272" t="s">
        <v>268</v>
      </c>
      <c r="L272" t="s">
        <v>184</v>
      </c>
      <c r="M272" t="s">
        <v>182</v>
      </c>
      <c r="N272" t="s">
        <v>251</v>
      </c>
      <c r="O272" t="s">
        <v>605</v>
      </c>
    </row>
    <row r="273" spans="1:15" x14ac:dyDescent="0.25">
      <c r="A273" t="s">
        <v>525</v>
      </c>
      <c r="J273" t="s">
        <v>268</v>
      </c>
      <c r="N273" t="s">
        <v>251</v>
      </c>
      <c r="O273" t="s">
        <v>612</v>
      </c>
    </row>
    <row r="274" spans="1:15" x14ac:dyDescent="0.25">
      <c r="A274" t="s">
        <v>526</v>
      </c>
      <c r="C274" t="s">
        <v>258</v>
      </c>
      <c r="D274" t="s">
        <v>195</v>
      </c>
      <c r="E274" t="s">
        <v>196</v>
      </c>
      <c r="F274" t="s">
        <v>183</v>
      </c>
      <c r="G274" t="s">
        <v>300</v>
      </c>
      <c r="H274" t="s">
        <v>309</v>
      </c>
      <c r="I274" t="s">
        <v>197</v>
      </c>
      <c r="J274" t="s">
        <v>268</v>
      </c>
      <c r="L274" t="s">
        <v>184</v>
      </c>
      <c r="M274" t="s">
        <v>182</v>
      </c>
      <c r="N274" t="s">
        <v>251</v>
      </c>
      <c r="O274" t="s">
        <v>613</v>
      </c>
    </row>
    <row r="275" spans="1:15" x14ac:dyDescent="0.25">
      <c r="A275" t="s">
        <v>527</v>
      </c>
      <c r="J275" t="s">
        <v>268</v>
      </c>
      <c r="N275" t="s">
        <v>251</v>
      </c>
      <c r="O275" t="s">
        <v>612</v>
      </c>
    </row>
    <row r="276" spans="1:15" x14ac:dyDescent="0.25">
      <c r="A276" t="s">
        <v>528</v>
      </c>
      <c r="G276" t="s">
        <v>300</v>
      </c>
      <c r="O276" t="s">
        <v>300</v>
      </c>
    </row>
    <row r="277" spans="1:15" x14ac:dyDescent="0.25">
      <c r="A277" t="s">
        <v>529</v>
      </c>
      <c r="B277" t="s">
        <v>249</v>
      </c>
      <c r="H277" t="s">
        <v>309</v>
      </c>
      <c r="O277" t="s">
        <v>675</v>
      </c>
    </row>
    <row r="278" spans="1:15" x14ac:dyDescent="0.25">
      <c r="A278" t="s">
        <v>530</v>
      </c>
      <c r="C278" t="s">
        <v>258</v>
      </c>
      <c r="D278" t="s">
        <v>195</v>
      </c>
      <c r="E278" t="s">
        <v>196</v>
      </c>
      <c r="F278" t="s">
        <v>183</v>
      </c>
      <c r="G278" t="s">
        <v>300</v>
      </c>
      <c r="I278" t="s">
        <v>197</v>
      </c>
      <c r="J278" t="s">
        <v>268</v>
      </c>
      <c r="K278" t="s">
        <v>202</v>
      </c>
      <c r="L278" t="s">
        <v>184</v>
      </c>
      <c r="M278" t="s">
        <v>182</v>
      </c>
      <c r="N278" t="s">
        <v>251</v>
      </c>
      <c r="O278" t="s">
        <v>604</v>
      </c>
    </row>
    <row r="279" spans="1:15" x14ac:dyDescent="0.25">
      <c r="A279" t="s">
        <v>531</v>
      </c>
      <c r="H279" t="s">
        <v>309</v>
      </c>
      <c r="O279" t="s">
        <v>309</v>
      </c>
    </row>
    <row r="280" spans="1:15" x14ac:dyDescent="0.25">
      <c r="A280" t="s">
        <v>532</v>
      </c>
      <c r="H280" t="s">
        <v>309</v>
      </c>
      <c r="O280" t="s">
        <v>309</v>
      </c>
    </row>
    <row r="281" spans="1:15" x14ac:dyDescent="0.25">
      <c r="A281" t="s">
        <v>533</v>
      </c>
      <c r="H281" t="s">
        <v>309</v>
      </c>
      <c r="O281" t="s">
        <v>309</v>
      </c>
    </row>
    <row r="282" spans="1:15" x14ac:dyDescent="0.25">
      <c r="A282" t="s">
        <v>534</v>
      </c>
      <c r="H282" t="s">
        <v>309</v>
      </c>
      <c r="O282" t="s">
        <v>309</v>
      </c>
    </row>
    <row r="283" spans="1:15" x14ac:dyDescent="0.25">
      <c r="A283" t="s">
        <v>535</v>
      </c>
      <c r="G283" t="s">
        <v>300</v>
      </c>
      <c r="O283" t="s">
        <v>300</v>
      </c>
    </row>
    <row r="284" spans="1:15" x14ac:dyDescent="0.25">
      <c r="A284" t="s">
        <v>536</v>
      </c>
      <c r="H284" t="s">
        <v>309</v>
      </c>
      <c r="O284" t="s">
        <v>309</v>
      </c>
    </row>
    <row r="285" spans="1:15" x14ac:dyDescent="0.25">
      <c r="A285" t="s">
        <v>537</v>
      </c>
      <c r="C285" t="s">
        <v>258</v>
      </c>
      <c r="D285" t="s">
        <v>195</v>
      </c>
      <c r="E285" t="s">
        <v>196</v>
      </c>
      <c r="F285" t="s">
        <v>183</v>
      </c>
      <c r="G285" t="s">
        <v>300</v>
      </c>
      <c r="H285" t="s">
        <v>309</v>
      </c>
      <c r="I285" t="s">
        <v>197</v>
      </c>
      <c r="J285" t="s">
        <v>268</v>
      </c>
      <c r="K285" t="s">
        <v>202</v>
      </c>
      <c r="L285" t="s">
        <v>184</v>
      </c>
      <c r="M285" t="s">
        <v>182</v>
      </c>
      <c r="N285" t="s">
        <v>251</v>
      </c>
      <c r="O285" t="s">
        <v>608</v>
      </c>
    </row>
    <row r="286" spans="1:15" x14ac:dyDescent="0.25">
      <c r="A286" t="s">
        <v>538</v>
      </c>
      <c r="C286" t="s">
        <v>258</v>
      </c>
      <c r="O286" t="s">
        <v>258</v>
      </c>
    </row>
    <row r="287" spans="1:15" x14ac:dyDescent="0.25">
      <c r="A287" t="s">
        <v>539</v>
      </c>
      <c r="C287" t="s">
        <v>258</v>
      </c>
      <c r="D287" t="s">
        <v>195</v>
      </c>
      <c r="E287" t="s">
        <v>196</v>
      </c>
      <c r="F287" t="s">
        <v>183</v>
      </c>
      <c r="G287" t="s">
        <v>300</v>
      </c>
      <c r="H287" t="s">
        <v>309</v>
      </c>
      <c r="I287" t="s">
        <v>197</v>
      </c>
      <c r="J287" t="s">
        <v>268</v>
      </c>
      <c r="L287" t="s">
        <v>184</v>
      </c>
      <c r="M287" t="s">
        <v>182</v>
      </c>
      <c r="N287" t="s">
        <v>251</v>
      </c>
      <c r="O287" t="s">
        <v>613</v>
      </c>
    </row>
    <row r="288" spans="1:15" x14ac:dyDescent="0.25">
      <c r="A288" t="s">
        <v>540</v>
      </c>
      <c r="C288" t="s">
        <v>258</v>
      </c>
      <c r="D288" t="s">
        <v>195</v>
      </c>
      <c r="E288" t="s">
        <v>196</v>
      </c>
      <c r="F288" t="s">
        <v>183</v>
      </c>
      <c r="G288" t="s">
        <v>300</v>
      </c>
      <c r="H288" t="s">
        <v>309</v>
      </c>
      <c r="I288" t="s">
        <v>197</v>
      </c>
      <c r="K288" t="s">
        <v>202</v>
      </c>
      <c r="O288" t="s">
        <v>676</v>
      </c>
    </row>
    <row r="289" spans="1:15" x14ac:dyDescent="0.25">
      <c r="A289" t="s">
        <v>541</v>
      </c>
      <c r="C289" t="s">
        <v>258</v>
      </c>
      <c r="D289" t="s">
        <v>195</v>
      </c>
      <c r="E289" t="s">
        <v>196</v>
      </c>
      <c r="F289" t="s">
        <v>183</v>
      </c>
      <c r="H289" t="s">
        <v>309</v>
      </c>
      <c r="I289" t="s">
        <v>197</v>
      </c>
      <c r="J289" t="s">
        <v>268</v>
      </c>
      <c r="K289" t="s">
        <v>202</v>
      </c>
      <c r="L289" t="s">
        <v>184</v>
      </c>
      <c r="M289" t="s">
        <v>182</v>
      </c>
      <c r="N289" t="s">
        <v>251</v>
      </c>
      <c r="O289" t="s">
        <v>626</v>
      </c>
    </row>
    <row r="290" spans="1:15" x14ac:dyDescent="0.25">
      <c r="A290" t="s">
        <v>542</v>
      </c>
      <c r="C290" t="s">
        <v>258</v>
      </c>
      <c r="D290" t="s">
        <v>195</v>
      </c>
      <c r="E290" t="s">
        <v>196</v>
      </c>
      <c r="F290" t="s">
        <v>183</v>
      </c>
      <c r="G290" t="s">
        <v>300</v>
      </c>
      <c r="H290" t="s">
        <v>309</v>
      </c>
      <c r="I290" t="s">
        <v>197</v>
      </c>
      <c r="J290" t="s">
        <v>268</v>
      </c>
      <c r="K290" t="s">
        <v>202</v>
      </c>
      <c r="L290" t="s">
        <v>184</v>
      </c>
      <c r="M290" t="s">
        <v>182</v>
      </c>
      <c r="N290" t="s">
        <v>251</v>
      </c>
      <c r="O290" t="s">
        <v>608</v>
      </c>
    </row>
    <row r="291" spans="1:15" x14ac:dyDescent="0.25">
      <c r="A291" t="s">
        <v>543</v>
      </c>
      <c r="C291" t="s">
        <v>258</v>
      </c>
      <c r="D291" t="s">
        <v>195</v>
      </c>
      <c r="E291" t="s">
        <v>196</v>
      </c>
      <c r="F291" t="s">
        <v>183</v>
      </c>
      <c r="G291" t="s">
        <v>300</v>
      </c>
      <c r="H291" t="s">
        <v>309</v>
      </c>
      <c r="I291" t="s">
        <v>197</v>
      </c>
      <c r="J291" t="s">
        <v>268</v>
      </c>
      <c r="K291" t="s">
        <v>202</v>
      </c>
      <c r="L291" t="s">
        <v>184</v>
      </c>
      <c r="M291" t="s">
        <v>182</v>
      </c>
      <c r="N291" t="s">
        <v>251</v>
      </c>
      <c r="O291" t="s">
        <v>608</v>
      </c>
    </row>
    <row r="292" spans="1:15" x14ac:dyDescent="0.25">
      <c r="A292" t="s">
        <v>544</v>
      </c>
      <c r="D292" t="s">
        <v>195</v>
      </c>
      <c r="E292" t="s">
        <v>196</v>
      </c>
      <c r="F292" t="s">
        <v>183</v>
      </c>
      <c r="G292" t="s">
        <v>300</v>
      </c>
      <c r="H292" t="s">
        <v>309</v>
      </c>
      <c r="I292" t="s">
        <v>197</v>
      </c>
      <c r="K292" t="s">
        <v>202</v>
      </c>
      <c r="L292" t="s">
        <v>184</v>
      </c>
      <c r="M292" t="s">
        <v>182</v>
      </c>
      <c r="O292" t="s">
        <v>677</v>
      </c>
    </row>
    <row r="293" spans="1:15" x14ac:dyDescent="0.25">
      <c r="A293" t="s">
        <v>545</v>
      </c>
      <c r="D293" t="s">
        <v>195</v>
      </c>
      <c r="F293" t="s">
        <v>183</v>
      </c>
      <c r="J293" t="s">
        <v>268</v>
      </c>
      <c r="K293" t="s">
        <v>202</v>
      </c>
      <c r="L293" t="s">
        <v>184</v>
      </c>
      <c r="M293" t="s">
        <v>182</v>
      </c>
      <c r="O293" t="s">
        <v>678</v>
      </c>
    </row>
    <row r="294" spans="1:15" x14ac:dyDescent="0.25">
      <c r="A294" t="s">
        <v>546</v>
      </c>
      <c r="C294" t="s">
        <v>258</v>
      </c>
      <c r="D294" t="s">
        <v>195</v>
      </c>
      <c r="E294" t="s">
        <v>196</v>
      </c>
      <c r="F294" t="s">
        <v>183</v>
      </c>
      <c r="G294" t="s">
        <v>300</v>
      </c>
      <c r="I294" t="s">
        <v>197</v>
      </c>
      <c r="J294" t="s">
        <v>268</v>
      </c>
      <c r="L294" t="s">
        <v>184</v>
      </c>
      <c r="M294" t="s">
        <v>182</v>
      </c>
      <c r="N294" t="s">
        <v>251</v>
      </c>
      <c r="O294" t="s">
        <v>605</v>
      </c>
    </row>
    <row r="295" spans="1:15" x14ac:dyDescent="0.25">
      <c r="A295" t="s">
        <v>547</v>
      </c>
      <c r="C295" t="s">
        <v>258</v>
      </c>
      <c r="D295" t="s">
        <v>195</v>
      </c>
      <c r="E295" t="s">
        <v>196</v>
      </c>
      <c r="F295" t="s">
        <v>183</v>
      </c>
      <c r="G295" t="s">
        <v>300</v>
      </c>
      <c r="H295" t="s">
        <v>309</v>
      </c>
      <c r="I295" t="s">
        <v>197</v>
      </c>
      <c r="J295" t="s">
        <v>268</v>
      </c>
      <c r="L295" t="s">
        <v>184</v>
      </c>
      <c r="M295" t="s">
        <v>182</v>
      </c>
      <c r="N295" t="s">
        <v>251</v>
      </c>
      <c r="O295" t="s">
        <v>613</v>
      </c>
    </row>
    <row r="296" spans="1:15" x14ac:dyDescent="0.25">
      <c r="A296" t="s">
        <v>548</v>
      </c>
      <c r="C296" t="s">
        <v>258</v>
      </c>
      <c r="D296" t="s">
        <v>195</v>
      </c>
      <c r="E296" t="s">
        <v>196</v>
      </c>
      <c r="F296" t="s">
        <v>183</v>
      </c>
      <c r="G296" t="s">
        <v>300</v>
      </c>
      <c r="I296" t="s">
        <v>197</v>
      </c>
      <c r="J296" t="s">
        <v>268</v>
      </c>
      <c r="K296" t="s">
        <v>202</v>
      </c>
      <c r="L296" t="s">
        <v>184</v>
      </c>
      <c r="M296" t="s">
        <v>182</v>
      </c>
      <c r="N296" t="s">
        <v>251</v>
      </c>
      <c r="O296" t="s">
        <v>604</v>
      </c>
    </row>
    <row r="297" spans="1:15" x14ac:dyDescent="0.25">
      <c r="A297" t="s">
        <v>549</v>
      </c>
      <c r="D297" t="s">
        <v>195</v>
      </c>
      <c r="F297" t="s">
        <v>183</v>
      </c>
      <c r="O297" t="s">
        <v>679</v>
      </c>
    </row>
    <row r="298" spans="1:15" x14ac:dyDescent="0.25">
      <c r="A298" t="s">
        <v>550</v>
      </c>
      <c r="D298" t="s">
        <v>195</v>
      </c>
      <c r="O298" t="s">
        <v>195</v>
      </c>
    </row>
    <row r="299" spans="1:15" x14ac:dyDescent="0.25">
      <c r="A299" t="s">
        <v>551</v>
      </c>
      <c r="C299" t="s">
        <v>258</v>
      </c>
      <c r="D299" t="s">
        <v>195</v>
      </c>
      <c r="F299" t="s">
        <v>183</v>
      </c>
      <c r="G299" t="s">
        <v>300</v>
      </c>
      <c r="H299" t="s">
        <v>309</v>
      </c>
      <c r="I299" t="s">
        <v>197</v>
      </c>
      <c r="J299" t="s">
        <v>268</v>
      </c>
      <c r="L299" t="s">
        <v>184</v>
      </c>
      <c r="M299" t="s">
        <v>182</v>
      </c>
      <c r="N299" t="s">
        <v>251</v>
      </c>
      <c r="O299" t="s">
        <v>607</v>
      </c>
    </row>
    <row r="300" spans="1:15" x14ac:dyDescent="0.25">
      <c r="A300" t="s">
        <v>552</v>
      </c>
      <c r="C300" t="s">
        <v>258</v>
      </c>
      <c r="D300" t="s">
        <v>195</v>
      </c>
      <c r="F300" t="s">
        <v>183</v>
      </c>
      <c r="I300" t="s">
        <v>197</v>
      </c>
      <c r="J300" t="s">
        <v>268</v>
      </c>
      <c r="M300" t="s">
        <v>182</v>
      </c>
      <c r="N300" t="s">
        <v>251</v>
      </c>
      <c r="O300" t="s">
        <v>680</v>
      </c>
    </row>
    <row r="301" spans="1:15" x14ac:dyDescent="0.25">
      <c r="A301" t="s">
        <v>553</v>
      </c>
      <c r="J301" t="s">
        <v>268</v>
      </c>
      <c r="O301" t="s">
        <v>268</v>
      </c>
    </row>
    <row r="302" spans="1:15" x14ac:dyDescent="0.25">
      <c r="A302" t="s">
        <v>554</v>
      </c>
      <c r="C302" t="s">
        <v>258</v>
      </c>
      <c r="E302" t="s">
        <v>196</v>
      </c>
      <c r="F302" t="s">
        <v>183</v>
      </c>
      <c r="O302" t="s">
        <v>681</v>
      </c>
    </row>
    <row r="303" spans="1:15" x14ac:dyDescent="0.25">
      <c r="A303" t="s">
        <v>555</v>
      </c>
      <c r="G303" t="s">
        <v>300</v>
      </c>
      <c r="O303" t="s">
        <v>300</v>
      </c>
    </row>
    <row r="304" spans="1:15" x14ac:dyDescent="0.25">
      <c r="A304" t="s">
        <v>556</v>
      </c>
      <c r="C304" t="s">
        <v>258</v>
      </c>
      <c r="D304" t="s">
        <v>195</v>
      </c>
      <c r="F304" t="s">
        <v>183</v>
      </c>
      <c r="G304" t="s">
        <v>300</v>
      </c>
      <c r="I304" t="s">
        <v>197</v>
      </c>
      <c r="J304" t="s">
        <v>268</v>
      </c>
      <c r="K304" t="s">
        <v>202</v>
      </c>
      <c r="O304" t="s">
        <v>682</v>
      </c>
    </row>
    <row r="305" spans="1:15" x14ac:dyDescent="0.25">
      <c r="A305" t="s">
        <v>557</v>
      </c>
      <c r="C305" t="s">
        <v>258</v>
      </c>
      <c r="D305" t="s">
        <v>195</v>
      </c>
      <c r="E305" t="s">
        <v>196</v>
      </c>
      <c r="F305" t="s">
        <v>183</v>
      </c>
      <c r="G305" t="s">
        <v>300</v>
      </c>
      <c r="H305" t="s">
        <v>309</v>
      </c>
      <c r="I305" t="s">
        <v>197</v>
      </c>
      <c r="K305" t="s">
        <v>202</v>
      </c>
      <c r="O305" t="s">
        <v>676</v>
      </c>
    </row>
    <row r="306" spans="1:15" x14ac:dyDescent="0.25">
      <c r="A306" t="s">
        <v>558</v>
      </c>
      <c r="J306" t="s">
        <v>268</v>
      </c>
      <c r="N306" t="s">
        <v>251</v>
      </c>
      <c r="O306" t="s">
        <v>612</v>
      </c>
    </row>
    <row r="307" spans="1:15" x14ac:dyDescent="0.25">
      <c r="A307" t="s">
        <v>559</v>
      </c>
      <c r="C307" t="s">
        <v>258</v>
      </c>
      <c r="D307" t="s">
        <v>195</v>
      </c>
      <c r="E307" t="s">
        <v>196</v>
      </c>
      <c r="F307" t="s">
        <v>183</v>
      </c>
      <c r="G307" t="s">
        <v>300</v>
      </c>
      <c r="I307" t="s">
        <v>197</v>
      </c>
      <c r="J307" t="s">
        <v>268</v>
      </c>
      <c r="L307" t="s">
        <v>184</v>
      </c>
      <c r="M307" t="s">
        <v>182</v>
      </c>
      <c r="N307" t="s">
        <v>251</v>
      </c>
      <c r="O307" t="s">
        <v>605</v>
      </c>
    </row>
    <row r="308" spans="1:15" x14ac:dyDescent="0.25">
      <c r="A308" t="s">
        <v>560</v>
      </c>
      <c r="F308" t="s">
        <v>183</v>
      </c>
      <c r="H308" t="s">
        <v>309</v>
      </c>
      <c r="O308" t="s">
        <v>683</v>
      </c>
    </row>
    <row r="309" spans="1:15" x14ac:dyDescent="0.25">
      <c r="A309" t="s">
        <v>561</v>
      </c>
      <c r="F309" t="s">
        <v>183</v>
      </c>
      <c r="H309" t="s">
        <v>309</v>
      </c>
      <c r="O309" t="s">
        <v>683</v>
      </c>
    </row>
    <row r="310" spans="1:15" x14ac:dyDescent="0.25">
      <c r="A310" t="s">
        <v>562</v>
      </c>
      <c r="F310" t="s">
        <v>183</v>
      </c>
      <c r="H310" t="s">
        <v>309</v>
      </c>
      <c r="O310" t="s">
        <v>683</v>
      </c>
    </row>
    <row r="311" spans="1:15" x14ac:dyDescent="0.25">
      <c r="A311" t="s">
        <v>563</v>
      </c>
      <c r="H311" t="s">
        <v>309</v>
      </c>
      <c r="O311" t="s">
        <v>309</v>
      </c>
    </row>
    <row r="312" spans="1:15" x14ac:dyDescent="0.25">
      <c r="A312" t="s">
        <v>564</v>
      </c>
      <c r="F312" t="s">
        <v>183</v>
      </c>
      <c r="H312" t="s">
        <v>309</v>
      </c>
      <c r="O312" t="s">
        <v>683</v>
      </c>
    </row>
    <row r="313" spans="1:15" x14ac:dyDescent="0.25">
      <c r="A313" t="s">
        <v>565</v>
      </c>
      <c r="H313" t="s">
        <v>309</v>
      </c>
      <c r="O313" t="s">
        <v>309</v>
      </c>
    </row>
    <row r="314" spans="1:15" x14ac:dyDescent="0.25">
      <c r="A314" t="s">
        <v>566</v>
      </c>
      <c r="F314" t="s">
        <v>183</v>
      </c>
      <c r="H314" t="s">
        <v>309</v>
      </c>
      <c r="O314" t="s">
        <v>683</v>
      </c>
    </row>
    <row r="315" spans="1:15" x14ac:dyDescent="0.25">
      <c r="A315" t="s">
        <v>567</v>
      </c>
      <c r="F315" t="s">
        <v>183</v>
      </c>
      <c r="H315" t="s">
        <v>309</v>
      </c>
      <c r="O315" t="s">
        <v>683</v>
      </c>
    </row>
    <row r="316" spans="1:15" x14ac:dyDescent="0.25">
      <c r="A316" t="s">
        <v>568</v>
      </c>
      <c r="H316" t="s">
        <v>309</v>
      </c>
      <c r="O316" t="s">
        <v>309</v>
      </c>
    </row>
    <row r="317" spans="1:15" x14ac:dyDescent="0.25">
      <c r="A317" t="s">
        <v>569</v>
      </c>
      <c r="H317" t="s">
        <v>309</v>
      </c>
      <c r="O317" t="s">
        <v>309</v>
      </c>
    </row>
    <row r="318" spans="1:15" x14ac:dyDescent="0.25">
      <c r="A318" t="s">
        <v>570</v>
      </c>
      <c r="F318" t="s">
        <v>183</v>
      </c>
      <c r="H318" t="s">
        <v>309</v>
      </c>
      <c r="O318" t="s">
        <v>683</v>
      </c>
    </row>
    <row r="319" spans="1:15" x14ac:dyDescent="0.25">
      <c r="A319" t="s">
        <v>571</v>
      </c>
      <c r="F319" t="s">
        <v>183</v>
      </c>
      <c r="H319" t="s">
        <v>309</v>
      </c>
      <c r="O319" t="s">
        <v>683</v>
      </c>
    </row>
    <row r="320" spans="1:15" x14ac:dyDescent="0.25">
      <c r="A320" t="s">
        <v>572</v>
      </c>
      <c r="F320" t="s">
        <v>183</v>
      </c>
      <c r="H320" t="s">
        <v>309</v>
      </c>
      <c r="O320" t="s">
        <v>683</v>
      </c>
    </row>
    <row r="321" spans="1:15" x14ac:dyDescent="0.25">
      <c r="A321" t="s">
        <v>573</v>
      </c>
      <c r="F321" t="s">
        <v>183</v>
      </c>
      <c r="H321" t="s">
        <v>309</v>
      </c>
      <c r="I321" t="s">
        <v>197</v>
      </c>
      <c r="O321" t="s">
        <v>655</v>
      </c>
    </row>
    <row r="322" spans="1:15" x14ac:dyDescent="0.25">
      <c r="A322" t="s">
        <v>574</v>
      </c>
      <c r="F322" t="s">
        <v>183</v>
      </c>
      <c r="H322" t="s">
        <v>309</v>
      </c>
      <c r="O322" t="s">
        <v>683</v>
      </c>
    </row>
    <row r="323" spans="1:15" x14ac:dyDescent="0.25">
      <c r="A323" t="s">
        <v>575</v>
      </c>
      <c r="F323" t="s">
        <v>183</v>
      </c>
      <c r="H323" t="s">
        <v>309</v>
      </c>
      <c r="O323" t="s">
        <v>683</v>
      </c>
    </row>
    <row r="324" spans="1:15" x14ac:dyDescent="0.25">
      <c r="A324" t="s">
        <v>576</v>
      </c>
      <c r="H324" t="s">
        <v>309</v>
      </c>
      <c r="O324" t="s">
        <v>309</v>
      </c>
    </row>
    <row r="325" spans="1:15" x14ac:dyDescent="0.25">
      <c r="A325" t="s">
        <v>577</v>
      </c>
      <c r="F325" t="s">
        <v>183</v>
      </c>
      <c r="H325" t="s">
        <v>309</v>
      </c>
      <c r="O325" t="s">
        <v>683</v>
      </c>
    </row>
    <row r="326" spans="1:15" x14ac:dyDescent="0.25">
      <c r="A326" t="s">
        <v>578</v>
      </c>
      <c r="F326" t="s">
        <v>183</v>
      </c>
      <c r="H326" t="s">
        <v>309</v>
      </c>
      <c r="O326" t="s">
        <v>683</v>
      </c>
    </row>
    <row r="327" spans="1:15" x14ac:dyDescent="0.25">
      <c r="A327" t="s">
        <v>579</v>
      </c>
      <c r="F327" t="s">
        <v>183</v>
      </c>
      <c r="H327" t="s">
        <v>309</v>
      </c>
      <c r="O327" t="s">
        <v>683</v>
      </c>
    </row>
    <row r="328" spans="1:15" x14ac:dyDescent="0.25">
      <c r="A328" t="s">
        <v>580</v>
      </c>
      <c r="F328" t="s">
        <v>183</v>
      </c>
      <c r="H328" t="s">
        <v>309</v>
      </c>
      <c r="O328" t="s">
        <v>683</v>
      </c>
    </row>
    <row r="329" spans="1:15" x14ac:dyDescent="0.25">
      <c r="A329" t="s">
        <v>581</v>
      </c>
      <c r="C329" t="s">
        <v>258</v>
      </c>
      <c r="J329" t="s">
        <v>268</v>
      </c>
      <c r="L329" t="s">
        <v>184</v>
      </c>
      <c r="M329" t="s">
        <v>182</v>
      </c>
      <c r="N329" t="s">
        <v>251</v>
      </c>
      <c r="O329" t="s">
        <v>610</v>
      </c>
    </row>
    <row r="330" spans="1:15" x14ac:dyDescent="0.25">
      <c r="A330" t="s">
        <v>582</v>
      </c>
      <c r="C330" t="s">
        <v>258</v>
      </c>
      <c r="D330" t="s">
        <v>195</v>
      </c>
      <c r="E330" t="s">
        <v>196</v>
      </c>
      <c r="F330" t="s">
        <v>183</v>
      </c>
      <c r="L330" t="s">
        <v>184</v>
      </c>
      <c r="M330" t="s">
        <v>182</v>
      </c>
      <c r="N330" t="s">
        <v>251</v>
      </c>
      <c r="O330" t="s">
        <v>684</v>
      </c>
    </row>
    <row r="331" spans="1:15" x14ac:dyDescent="0.25">
      <c r="A331" t="s">
        <v>583</v>
      </c>
      <c r="B331" t="s">
        <v>249</v>
      </c>
      <c r="O331" t="s">
        <v>249</v>
      </c>
    </row>
    <row r="332" spans="1:15" x14ac:dyDescent="0.25">
      <c r="A332" t="s">
        <v>584</v>
      </c>
      <c r="C332" t="s">
        <v>258</v>
      </c>
      <c r="D332" t="s">
        <v>195</v>
      </c>
      <c r="E332" t="s">
        <v>196</v>
      </c>
      <c r="F332" t="s">
        <v>183</v>
      </c>
      <c r="G332" t="s">
        <v>300</v>
      </c>
      <c r="I332" t="s">
        <v>197</v>
      </c>
      <c r="J332" t="s">
        <v>268</v>
      </c>
      <c r="K332" t="s">
        <v>202</v>
      </c>
      <c r="L332" t="s">
        <v>184</v>
      </c>
      <c r="M332" t="s">
        <v>182</v>
      </c>
      <c r="N332" t="s">
        <v>251</v>
      </c>
      <c r="O332" t="s">
        <v>604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ACC30-4BA7-4DB6-A82C-77C2412DF7B0}">
  <dimension ref="A1:AC254"/>
  <sheetViews>
    <sheetView tabSelected="1" workbookViewId="0">
      <pane xSplit="4" ySplit="2" topLeftCell="E3" activePane="bottomRight" state="frozen"/>
      <selection pane="topRight" activeCell="D1" sqref="D1"/>
      <selection pane="bottomLeft" activeCell="A3" sqref="A3"/>
      <selection pane="bottomRight" activeCell="C8" sqref="C8"/>
    </sheetView>
  </sheetViews>
  <sheetFormatPr baseColWidth="10" defaultColWidth="48" defaultRowHeight="15" x14ac:dyDescent="0.25"/>
  <cols>
    <col min="1" max="1" width="28.140625" style="2" bestFit="1" customWidth="1"/>
    <col min="2" max="2" width="12.42578125" style="6" bestFit="1" customWidth="1"/>
    <col min="3" max="3" width="21.42578125" style="6" bestFit="1" customWidth="1"/>
    <col min="4" max="4" width="25.140625" style="6" customWidth="1"/>
    <col min="5" max="5" width="15" style="4" customWidth="1"/>
    <col min="6" max="6" width="13.5703125" style="1" customWidth="1"/>
    <col min="7" max="7" width="12.140625" style="5" customWidth="1"/>
    <col min="8" max="8" width="12.140625" style="4" customWidth="1"/>
    <col min="9" max="9" width="12.140625" style="1" customWidth="1"/>
    <col min="10" max="10" width="12.140625" style="5" customWidth="1"/>
    <col min="11" max="11" width="12.140625" style="4" customWidth="1"/>
    <col min="12" max="12" width="12.140625" style="1" customWidth="1"/>
    <col min="13" max="13" width="12.140625" style="5" customWidth="1"/>
    <col min="14" max="14" width="12.140625" style="4" customWidth="1"/>
    <col min="15" max="15" width="12.140625" style="1" customWidth="1"/>
    <col min="16" max="16" width="12.140625" style="5" customWidth="1"/>
    <col min="17" max="17" width="12.140625" style="4" customWidth="1"/>
    <col min="18" max="18" width="12.140625" style="1" customWidth="1"/>
    <col min="19" max="19" width="12.140625" style="5" customWidth="1"/>
    <col min="20" max="20" width="12.140625" style="4" customWidth="1"/>
    <col min="21" max="21" width="12.140625" style="1" customWidth="1"/>
    <col min="22" max="22" width="12.140625" style="5" customWidth="1"/>
    <col min="23" max="23" width="12.140625" style="4" customWidth="1"/>
    <col min="24" max="24" width="12.140625" style="5" customWidth="1"/>
    <col min="25" max="25" width="12.140625" style="4" customWidth="1"/>
    <col min="26" max="26" width="12.140625" style="5" customWidth="1"/>
    <col min="27" max="27" width="7.5703125" style="3" customWidth="1"/>
    <col min="28" max="28" width="10.7109375" style="1" customWidth="1"/>
    <col min="29" max="29" width="13.85546875" style="1" customWidth="1"/>
    <col min="30" max="16384" width="48" style="1"/>
  </cols>
  <sheetData>
    <row r="1" spans="1:29" s="8" customFormat="1" ht="18.75" x14ac:dyDescent="0.3">
      <c r="A1" s="9" t="s">
        <v>0</v>
      </c>
      <c r="B1" s="16" t="s">
        <v>685</v>
      </c>
      <c r="C1" s="16" t="s">
        <v>175</v>
      </c>
      <c r="D1" s="16" t="s">
        <v>174</v>
      </c>
      <c r="E1" s="19" t="s">
        <v>2</v>
      </c>
      <c r="F1" s="19" t="s">
        <v>2</v>
      </c>
      <c r="G1" s="19" t="s">
        <v>2</v>
      </c>
      <c r="H1" s="19" t="s">
        <v>3</v>
      </c>
      <c r="I1" s="19" t="s">
        <v>3</v>
      </c>
      <c r="J1" s="19" t="s">
        <v>3</v>
      </c>
      <c r="K1" s="19" t="s">
        <v>4</v>
      </c>
      <c r="L1" s="19" t="s">
        <v>4</v>
      </c>
      <c r="M1" s="19" t="s">
        <v>4</v>
      </c>
      <c r="N1" s="19" t="s">
        <v>5</v>
      </c>
      <c r="O1" s="19" t="s">
        <v>5</v>
      </c>
      <c r="P1" s="19" t="s">
        <v>5</v>
      </c>
      <c r="Q1" s="19" t="s">
        <v>6</v>
      </c>
      <c r="R1" s="19" t="s">
        <v>6</v>
      </c>
      <c r="S1" s="19" t="s">
        <v>6</v>
      </c>
      <c r="T1" s="19" t="s">
        <v>173</v>
      </c>
      <c r="U1" s="19" t="s">
        <v>173</v>
      </c>
      <c r="V1" s="19" t="s">
        <v>173</v>
      </c>
      <c r="W1" s="19" t="s">
        <v>7</v>
      </c>
      <c r="X1" s="19" t="s">
        <v>7</v>
      </c>
      <c r="Y1" s="19" t="s">
        <v>8</v>
      </c>
      <c r="Z1" s="19" t="s">
        <v>8</v>
      </c>
      <c r="AA1" s="7"/>
    </row>
    <row r="2" spans="1:29" s="8" customFormat="1" ht="18.75" x14ac:dyDescent="0.3">
      <c r="A2" s="9"/>
      <c r="B2" s="17"/>
      <c r="C2" s="17"/>
      <c r="D2" s="17"/>
      <c r="E2" s="10" t="s">
        <v>231</v>
      </c>
      <c r="F2" s="8" t="s">
        <v>232</v>
      </c>
      <c r="G2" s="11" t="s">
        <v>233</v>
      </c>
      <c r="H2" s="10" t="s">
        <v>231</v>
      </c>
      <c r="I2" s="8" t="s">
        <v>232</v>
      </c>
      <c r="J2" s="11" t="s">
        <v>233</v>
      </c>
      <c r="K2" s="10" t="s">
        <v>231</v>
      </c>
      <c r="L2" s="8" t="s">
        <v>232</v>
      </c>
      <c r="M2" s="11" t="s">
        <v>233</v>
      </c>
      <c r="N2" s="10" t="s">
        <v>231</v>
      </c>
      <c r="O2" s="8" t="s">
        <v>232</v>
      </c>
      <c r="P2" s="11" t="s">
        <v>233</v>
      </c>
      <c r="Q2" s="10" t="s">
        <v>231</v>
      </c>
      <c r="R2" s="8" t="s">
        <v>232</v>
      </c>
      <c r="S2" s="11" t="s">
        <v>233</v>
      </c>
      <c r="T2" s="10" t="s">
        <v>231</v>
      </c>
      <c r="U2" s="8" t="s">
        <v>232</v>
      </c>
      <c r="V2" s="11" t="s">
        <v>233</v>
      </c>
      <c r="W2" s="10" t="s">
        <v>231</v>
      </c>
      <c r="X2" s="11" t="s">
        <v>233</v>
      </c>
      <c r="Y2" s="10" t="s">
        <v>231</v>
      </c>
      <c r="Z2" s="11" t="s">
        <v>232</v>
      </c>
      <c r="AA2" s="7"/>
      <c r="AB2" s="8" t="s">
        <v>699</v>
      </c>
      <c r="AC2" s="8" t="s">
        <v>700</v>
      </c>
    </row>
    <row r="3" spans="1:29" x14ac:dyDescent="0.25">
      <c r="A3" s="2" t="s">
        <v>9</v>
      </c>
      <c r="B3" s="6" t="s">
        <v>230</v>
      </c>
      <c r="D3" s="6" t="str">
        <f>VLOOKUP(TRIM(A3),wikily_maps!A:O,15,FALSE)</f>
        <v>Astraeos, Crystal Isles, Extinction, Fjordur, Genesis 2, Lost Island, Ragnarok, Scorched Earth, The Center, The Island, Valguero</v>
      </c>
      <c r="E3" s="4">
        <v>75</v>
      </c>
      <c r="F3" s="1">
        <v>15</v>
      </c>
      <c r="G3" s="5">
        <v>5.4</v>
      </c>
      <c r="H3" s="4">
        <v>100</v>
      </c>
      <c r="I3" s="1">
        <v>10</v>
      </c>
      <c r="J3" s="5">
        <v>10</v>
      </c>
      <c r="K3" s="4">
        <v>0</v>
      </c>
      <c r="L3" s="1">
        <v>0</v>
      </c>
      <c r="M3" s="5">
        <v>0</v>
      </c>
      <c r="N3" s="4">
        <v>450</v>
      </c>
      <c r="O3" s="1">
        <v>45</v>
      </c>
      <c r="P3" s="5">
        <v>10</v>
      </c>
      <c r="Q3" s="4">
        <v>150</v>
      </c>
      <c r="R3" s="1">
        <v>3</v>
      </c>
      <c r="S3" s="5">
        <v>4</v>
      </c>
      <c r="T3" s="4">
        <v>1</v>
      </c>
      <c r="U3" s="1">
        <v>0.05</v>
      </c>
      <c r="V3" s="5">
        <v>1.7</v>
      </c>
      <c r="W3" s="4">
        <v>100</v>
      </c>
      <c r="X3" s="5">
        <v>1</v>
      </c>
      <c r="Y3" s="4">
        <v>50</v>
      </c>
      <c r="Z3" s="5">
        <v>3</v>
      </c>
      <c r="AB3" s="1">
        <f>$N3+($O3*1)</f>
        <v>495</v>
      </c>
      <c r="AC3" s="1">
        <f>$N3+($O3*150)</f>
        <v>7200</v>
      </c>
    </row>
    <row r="4" spans="1:29" x14ac:dyDescent="0.25">
      <c r="A4" s="2" t="s">
        <v>10</v>
      </c>
      <c r="B4" s="6" t="s">
        <v>230</v>
      </c>
      <c r="D4" s="6" t="str">
        <f>VLOOKUP(TRIM(A4),wikily_maps!A:O,15,FALSE)</f>
        <v>Astraeos, Crystal Isles, Extinction, Fjordur, Genesis 2, Lost Island, Ragnarok, The Center, The Island, Valguero</v>
      </c>
      <c r="E4" s="4">
        <v>630</v>
      </c>
      <c r="F4" s="1">
        <v>126</v>
      </c>
      <c r="G4" s="5">
        <v>5.4</v>
      </c>
      <c r="H4" s="4">
        <v>250</v>
      </c>
      <c r="I4" s="1">
        <v>25</v>
      </c>
      <c r="J4" s="5">
        <v>10</v>
      </c>
      <c r="K4" s="4">
        <v>150</v>
      </c>
      <c r="L4" s="1">
        <v>15</v>
      </c>
      <c r="M4" s="5">
        <v>10</v>
      </c>
      <c r="N4" s="4">
        <v>3000</v>
      </c>
      <c r="O4" s="1">
        <v>300</v>
      </c>
      <c r="P4" s="5">
        <v>10</v>
      </c>
      <c r="Q4" s="4">
        <v>380</v>
      </c>
      <c r="R4" s="1">
        <v>7.6</v>
      </c>
      <c r="S4" s="5">
        <v>4</v>
      </c>
      <c r="T4" s="4">
        <v>35</v>
      </c>
      <c r="U4" s="1">
        <v>1.75</v>
      </c>
      <c r="V4" s="5">
        <v>1.7</v>
      </c>
      <c r="W4" s="4">
        <v>100</v>
      </c>
      <c r="X4" s="5">
        <v>1</v>
      </c>
      <c r="Y4" s="4">
        <v>1000</v>
      </c>
      <c r="Z4" s="5">
        <v>60</v>
      </c>
    </row>
    <row r="5" spans="1:29" x14ac:dyDescent="0.25">
      <c r="A5" s="2" t="s">
        <v>11</v>
      </c>
      <c r="B5" s="6" t="s">
        <v>230</v>
      </c>
      <c r="D5" s="6" t="str">
        <f>VLOOKUP(TRIM(A5),wikily_maps!A:O,15,FALSE)</f>
        <v>Lost Island</v>
      </c>
      <c r="E5" s="4">
        <v>1250</v>
      </c>
      <c r="F5" s="1">
        <v>250</v>
      </c>
      <c r="G5" s="5">
        <v>5.4</v>
      </c>
      <c r="H5" s="4">
        <v>425</v>
      </c>
      <c r="I5" s="1">
        <v>42.5</v>
      </c>
      <c r="J5" s="5">
        <v>10</v>
      </c>
      <c r="K5" s="4">
        <v>300</v>
      </c>
      <c r="L5" s="1">
        <v>30</v>
      </c>
      <c r="M5" s="5">
        <v>10</v>
      </c>
      <c r="N5" s="4">
        <v>6300</v>
      </c>
      <c r="O5" s="1">
        <v>630</v>
      </c>
      <c r="P5" s="5">
        <v>10</v>
      </c>
      <c r="Q5" s="4">
        <v>475</v>
      </c>
      <c r="R5" s="1">
        <v>9.5</v>
      </c>
      <c r="S5" s="5">
        <v>4</v>
      </c>
      <c r="T5" s="4">
        <v>40</v>
      </c>
      <c r="U5" s="1">
        <v>2</v>
      </c>
      <c r="V5" s="5">
        <v>1.7</v>
      </c>
      <c r="W5" s="4">
        <v>100</v>
      </c>
      <c r="X5" s="5">
        <v>1</v>
      </c>
      <c r="Y5" s="4">
        <v>2250</v>
      </c>
      <c r="Z5" s="5">
        <v>135</v>
      </c>
    </row>
    <row r="6" spans="1:29" x14ac:dyDescent="0.25">
      <c r="A6" s="2" t="s">
        <v>12</v>
      </c>
      <c r="B6" s="6" t="s">
        <v>230</v>
      </c>
      <c r="D6" s="6" t="str">
        <f>VLOOKUP(TRIM(A6),wikily_maps!A:O,15,FALSE)</f>
        <v>Astraeos, Crystal Isles, Fjordur, Genesis 2, Genesis, Lost Island, Ragnarok, The Center, The Island, Valguero</v>
      </c>
      <c r="E6" s="4">
        <v>165</v>
      </c>
      <c r="F6" s="1">
        <v>33</v>
      </c>
      <c r="G6" s="5">
        <v>5.4</v>
      </c>
      <c r="H6" s="4">
        <v>100</v>
      </c>
      <c r="I6" s="1">
        <v>10</v>
      </c>
      <c r="J6" s="5">
        <v>10</v>
      </c>
      <c r="K6" s="4">
        <v>0</v>
      </c>
      <c r="L6" s="1">
        <v>0</v>
      </c>
      <c r="M6" s="5">
        <v>0</v>
      </c>
      <c r="N6" s="4">
        <v>450</v>
      </c>
      <c r="O6" s="1">
        <v>45</v>
      </c>
      <c r="P6" s="5">
        <v>10</v>
      </c>
      <c r="Q6" s="4">
        <v>150</v>
      </c>
      <c r="R6" s="1">
        <v>3</v>
      </c>
      <c r="S6" s="5">
        <v>4</v>
      </c>
      <c r="T6" s="4">
        <v>10</v>
      </c>
      <c r="U6" s="1">
        <v>0.5</v>
      </c>
      <c r="V6" s="5">
        <v>1.7</v>
      </c>
      <c r="W6" s="4">
        <v>100</v>
      </c>
      <c r="X6" s="5">
        <v>0</v>
      </c>
      <c r="Y6" s="4">
        <v>50</v>
      </c>
      <c r="Z6" s="5">
        <v>3</v>
      </c>
    </row>
    <row r="7" spans="1:29" x14ac:dyDescent="0.25">
      <c r="A7" s="2" t="s">
        <v>13</v>
      </c>
      <c r="B7" s="6" t="s">
        <v>230</v>
      </c>
      <c r="D7" s="6" t="str">
        <f>VLOOKUP(TRIM(A7),wikily_maps!A:O,15,FALSE)</f>
        <v>Fjordur</v>
      </c>
      <c r="E7" s="4">
        <v>800</v>
      </c>
      <c r="F7" s="1">
        <v>160</v>
      </c>
      <c r="G7" s="5">
        <v>5.4</v>
      </c>
      <c r="H7" s="4">
        <v>400</v>
      </c>
      <c r="I7" s="1">
        <v>40</v>
      </c>
      <c r="J7" s="5">
        <v>10</v>
      </c>
      <c r="K7" s="4">
        <v>650</v>
      </c>
      <c r="L7" s="1">
        <v>65</v>
      </c>
      <c r="M7" s="5">
        <v>10</v>
      </c>
      <c r="N7" s="4">
        <v>2174</v>
      </c>
      <c r="O7" s="1">
        <v>217.4</v>
      </c>
      <c r="P7" s="5">
        <v>10</v>
      </c>
      <c r="Q7" s="4">
        <v>500</v>
      </c>
      <c r="R7" s="1">
        <v>10</v>
      </c>
      <c r="S7" s="5">
        <v>4</v>
      </c>
      <c r="T7" s="4">
        <v>41</v>
      </c>
      <c r="U7" s="1">
        <v>2.0499999999999998</v>
      </c>
      <c r="V7" s="5">
        <v>1.7</v>
      </c>
      <c r="W7" s="4">
        <v>100</v>
      </c>
      <c r="X7" s="5">
        <v>0.5</v>
      </c>
      <c r="Y7" s="4">
        <v>800</v>
      </c>
      <c r="Z7" s="5">
        <v>48</v>
      </c>
    </row>
    <row r="8" spans="1:29" x14ac:dyDescent="0.25">
      <c r="A8" s="2" t="s">
        <v>14</v>
      </c>
      <c r="B8" s="6" t="s">
        <v>230</v>
      </c>
      <c r="D8" s="6" t="str">
        <f>VLOOKUP(TRIM(A8),wikily_maps!A:O,15,FALSE)</f>
        <v>Astraeos, Crystal Isles, Fjordur, Genesis 2, Genesis, Lost Island, Ragnarok, The Center, The Island, Valguero</v>
      </c>
      <c r="E8" s="4">
        <v>450</v>
      </c>
      <c r="F8" s="1">
        <v>90</v>
      </c>
      <c r="G8" s="5">
        <v>5.4</v>
      </c>
      <c r="H8" s="4">
        <v>240</v>
      </c>
      <c r="I8" s="1">
        <v>24</v>
      </c>
      <c r="J8" s="5">
        <v>10</v>
      </c>
      <c r="K8" s="4">
        <v>150</v>
      </c>
      <c r="L8" s="1">
        <v>15</v>
      </c>
      <c r="M8" s="5">
        <v>0</v>
      </c>
      <c r="N8" s="4">
        <v>1500</v>
      </c>
      <c r="O8" s="1">
        <v>150</v>
      </c>
      <c r="P8" s="5">
        <v>10</v>
      </c>
      <c r="Q8" s="4">
        <v>350</v>
      </c>
      <c r="R8" s="1">
        <v>7</v>
      </c>
      <c r="S8" s="5">
        <v>4</v>
      </c>
      <c r="T8" s="4">
        <v>30</v>
      </c>
      <c r="U8" s="1">
        <v>1.5</v>
      </c>
      <c r="V8" s="5">
        <v>1.7</v>
      </c>
      <c r="W8" s="4">
        <v>100</v>
      </c>
      <c r="X8" s="5">
        <v>1</v>
      </c>
      <c r="Y8" s="4">
        <v>900</v>
      </c>
      <c r="Z8" s="5">
        <v>54</v>
      </c>
    </row>
    <row r="9" spans="1:29" x14ac:dyDescent="0.25">
      <c r="A9" s="2" t="s">
        <v>15</v>
      </c>
      <c r="B9" s="6" t="s">
        <v>230</v>
      </c>
      <c r="D9" s="6" t="str">
        <f>VLOOKUP(TRIM(A9),wikily_maps!A:O,15,FALSE)</f>
        <v>Astraeos, Crystal Isles, Extinction, Fjordur, Genesis 2, Genesis, Lost Island, Ragnarok, Scorched Earth, The Center, The Island, Valguero</v>
      </c>
      <c r="E9" s="4">
        <v>700</v>
      </c>
      <c r="F9" s="1">
        <v>140</v>
      </c>
      <c r="G9" s="5">
        <v>5.4</v>
      </c>
      <c r="H9" s="4">
        <v>175</v>
      </c>
      <c r="I9" s="1">
        <v>17.5</v>
      </c>
      <c r="J9" s="5">
        <v>10</v>
      </c>
      <c r="K9" s="4">
        <v>150</v>
      </c>
      <c r="L9" s="1">
        <v>15</v>
      </c>
      <c r="M9" s="5">
        <v>10</v>
      </c>
      <c r="N9" s="4">
        <v>3000</v>
      </c>
      <c r="O9" s="1">
        <v>300</v>
      </c>
      <c r="P9" s="5">
        <v>10</v>
      </c>
      <c r="Q9" s="4">
        <v>250</v>
      </c>
      <c r="R9" s="1">
        <v>5</v>
      </c>
      <c r="S9" s="5">
        <v>4</v>
      </c>
      <c r="T9" s="4">
        <v>50</v>
      </c>
      <c r="U9" s="1">
        <v>2.5</v>
      </c>
      <c r="V9" s="5">
        <v>1.7</v>
      </c>
      <c r="W9" s="4">
        <v>100</v>
      </c>
      <c r="X9" s="5">
        <v>2</v>
      </c>
      <c r="Y9" s="4">
        <v>420</v>
      </c>
      <c r="Z9" s="5">
        <v>25.2</v>
      </c>
    </row>
    <row r="10" spans="1:29" x14ac:dyDescent="0.25">
      <c r="A10" s="2" t="s">
        <v>16</v>
      </c>
      <c r="B10" s="6" t="s">
        <v>230</v>
      </c>
      <c r="D10" s="6" t="str">
        <f>VLOOKUP(TRIM(A10),wikily_maps!A:O,15,FALSE)</f>
        <v>Astraeos, Crystal Isles, Extinction, Fjordur, Genesis 2, Genesis, Lost Island, Ragnarok, Scorched Earth, The Center, The Island, Valguero</v>
      </c>
      <c r="E10" s="4">
        <v>150</v>
      </c>
      <c r="F10" s="1">
        <v>30</v>
      </c>
      <c r="G10" s="5">
        <v>2.7</v>
      </c>
      <c r="H10" s="4">
        <v>100</v>
      </c>
      <c r="I10" s="1">
        <v>10</v>
      </c>
      <c r="J10" s="5">
        <v>10</v>
      </c>
      <c r="K10" s="4">
        <v>150</v>
      </c>
      <c r="L10" s="1">
        <v>15</v>
      </c>
      <c r="M10" s="5">
        <v>10</v>
      </c>
      <c r="N10" s="4">
        <v>900</v>
      </c>
      <c r="O10" s="1">
        <v>90</v>
      </c>
      <c r="P10" s="5">
        <v>10</v>
      </c>
      <c r="Q10" s="4">
        <v>100</v>
      </c>
      <c r="R10" s="1">
        <v>2</v>
      </c>
      <c r="S10" s="5">
        <v>8</v>
      </c>
      <c r="T10" s="4">
        <v>10</v>
      </c>
      <c r="U10" s="1">
        <v>0.5</v>
      </c>
      <c r="V10" s="5">
        <v>1.7</v>
      </c>
      <c r="W10" s="4">
        <v>100</v>
      </c>
      <c r="X10" s="5">
        <v>1</v>
      </c>
      <c r="Y10" s="4">
        <v>80</v>
      </c>
      <c r="Z10" s="5">
        <v>4.8</v>
      </c>
    </row>
    <row r="11" spans="1:29" x14ac:dyDescent="0.25">
      <c r="A11" s="2" t="s">
        <v>17</v>
      </c>
      <c r="B11" s="6" t="s">
        <v>230</v>
      </c>
      <c r="D11" s="6" t="str">
        <f>VLOOKUP(TRIM(A11),wikily_maps!A:O,15,FALSE)</f>
        <v>Crystal Isles, Extinction, Fjordur, Genesis, Lost Island, Ragnarok, Scorched Earth, The Center, The Island, Valguero</v>
      </c>
      <c r="E11" s="4">
        <v>125</v>
      </c>
      <c r="F11" s="1">
        <v>25</v>
      </c>
      <c r="G11" s="5">
        <v>5.4</v>
      </c>
      <c r="H11" s="4">
        <v>150</v>
      </c>
      <c r="I11" s="1">
        <v>15</v>
      </c>
      <c r="J11" s="5">
        <v>10</v>
      </c>
      <c r="K11" s="4">
        <v>150</v>
      </c>
      <c r="L11" s="1">
        <v>15</v>
      </c>
      <c r="M11" s="5">
        <v>10</v>
      </c>
      <c r="N11" s="4">
        <v>900</v>
      </c>
      <c r="O11" s="1">
        <v>90</v>
      </c>
      <c r="P11" s="5">
        <v>10</v>
      </c>
      <c r="Q11" s="4">
        <v>30</v>
      </c>
      <c r="R11" s="1">
        <v>0.6</v>
      </c>
      <c r="S11" s="5">
        <v>4</v>
      </c>
      <c r="T11" s="4">
        <v>5</v>
      </c>
      <c r="U11" s="1">
        <v>0.25</v>
      </c>
      <c r="V11" s="5">
        <v>1.7</v>
      </c>
      <c r="W11" s="4">
        <v>100</v>
      </c>
      <c r="X11" s="5">
        <v>1</v>
      </c>
      <c r="Y11" s="4">
        <v>100</v>
      </c>
      <c r="Z11" s="5">
        <v>6</v>
      </c>
    </row>
    <row r="12" spans="1:29" x14ac:dyDescent="0.25">
      <c r="A12" s="2" t="s">
        <v>18</v>
      </c>
      <c r="B12" s="6" t="s">
        <v>230</v>
      </c>
      <c r="D12" s="6" t="str">
        <f>VLOOKUP(TRIM(A12),wikily_maps!A:O,15,FALSE)</f>
        <v>Astraeos, Ragnarok, The Center, The Island, Valguero</v>
      </c>
      <c r="E12" s="4">
        <v>1400</v>
      </c>
      <c r="F12" s="1">
        <v>280</v>
      </c>
      <c r="G12" s="12">
        <v>2.5</v>
      </c>
      <c r="H12" s="4">
        <v>775</v>
      </c>
      <c r="I12" s="1">
        <v>77.5</v>
      </c>
      <c r="J12" s="5">
        <v>10</v>
      </c>
      <c r="K12" s="4">
        <v>0</v>
      </c>
      <c r="L12" s="1">
        <v>0</v>
      </c>
      <c r="M12" s="5">
        <v>0</v>
      </c>
      <c r="N12" s="4">
        <v>3500</v>
      </c>
      <c r="O12" s="1">
        <v>350</v>
      </c>
      <c r="P12" s="5">
        <v>10</v>
      </c>
      <c r="Q12" s="4">
        <v>1000</v>
      </c>
      <c r="R12" s="1">
        <v>20</v>
      </c>
      <c r="S12" s="5">
        <v>4</v>
      </c>
      <c r="T12" s="4">
        <v>28</v>
      </c>
      <c r="U12" s="1">
        <v>1.4</v>
      </c>
      <c r="V12" s="5">
        <v>1.7</v>
      </c>
      <c r="W12" s="4">
        <v>100</v>
      </c>
      <c r="X12" s="5">
        <v>2</v>
      </c>
      <c r="Y12" s="4">
        <v>2000</v>
      </c>
      <c r="Z12" s="5">
        <v>120</v>
      </c>
    </row>
    <row r="13" spans="1:29" x14ac:dyDescent="0.25">
      <c r="A13" s="2" t="s">
        <v>19</v>
      </c>
      <c r="B13" s="6" t="s">
        <v>230</v>
      </c>
      <c r="D13" s="6" t="str">
        <f>VLOOKUP(TRIM(A13),wikily_maps!A:O,15,FALSE)</f>
        <v>Astraeos, Crystal Isles, Extinction, Fjordur, Genesis 2, Genesis, Lost Island, Ragnarok, Scorched Earth, The Center, The Island, Valguero</v>
      </c>
      <c r="E13" s="4">
        <v>365</v>
      </c>
      <c r="F13" s="1">
        <v>73</v>
      </c>
      <c r="G13" s="12">
        <v>6</v>
      </c>
      <c r="H13" s="4">
        <v>400</v>
      </c>
      <c r="I13" s="1">
        <v>20</v>
      </c>
      <c r="J13" s="5">
        <v>7.5</v>
      </c>
      <c r="K13" s="4">
        <v>150</v>
      </c>
      <c r="L13" s="1">
        <v>15</v>
      </c>
      <c r="M13" s="5">
        <v>10</v>
      </c>
      <c r="N13" s="4">
        <v>2000</v>
      </c>
      <c r="O13" s="1">
        <v>200</v>
      </c>
      <c r="P13" s="5">
        <v>10</v>
      </c>
      <c r="Q13" s="4">
        <v>400</v>
      </c>
      <c r="R13" s="1">
        <v>8</v>
      </c>
      <c r="S13" s="5">
        <v>5.5</v>
      </c>
      <c r="T13" s="4">
        <v>25</v>
      </c>
      <c r="U13" s="1">
        <v>1.25</v>
      </c>
      <c r="V13" s="5">
        <v>2.5499999999999998</v>
      </c>
      <c r="W13" s="4">
        <v>100</v>
      </c>
      <c r="X13" s="5">
        <v>0</v>
      </c>
      <c r="Y13" s="4">
        <v>600</v>
      </c>
      <c r="Z13" s="5">
        <v>36</v>
      </c>
    </row>
    <row r="14" spans="1:29" x14ac:dyDescent="0.25">
      <c r="A14" s="2" t="s">
        <v>20</v>
      </c>
      <c r="B14" s="6" t="s">
        <v>230</v>
      </c>
      <c r="D14" s="6" t="str">
        <f>VLOOKUP(TRIM(A14),wikily_maps!A:O,15,FALSE)</f>
        <v>Extinction</v>
      </c>
      <c r="E14" s="4">
        <v>200</v>
      </c>
      <c r="F14" s="1">
        <v>40</v>
      </c>
      <c r="G14" s="5">
        <v>5.4</v>
      </c>
      <c r="H14" s="4">
        <v>260</v>
      </c>
      <c r="I14" s="1">
        <v>26</v>
      </c>
      <c r="J14" s="5">
        <v>10</v>
      </c>
      <c r="K14" s="4">
        <v>150</v>
      </c>
      <c r="L14" s="1">
        <v>15</v>
      </c>
      <c r="M14" s="5">
        <v>10</v>
      </c>
      <c r="N14" s="4">
        <v>1200</v>
      </c>
      <c r="O14" s="1">
        <v>120</v>
      </c>
      <c r="P14" s="5">
        <v>10</v>
      </c>
      <c r="Q14" s="4">
        <v>200</v>
      </c>
      <c r="R14" s="1">
        <v>4</v>
      </c>
      <c r="S14" s="5">
        <v>4</v>
      </c>
      <c r="T14" s="4">
        <v>15</v>
      </c>
      <c r="U14" s="1">
        <v>0.75</v>
      </c>
      <c r="V14" s="5">
        <v>1.7</v>
      </c>
      <c r="W14" s="4">
        <v>100</v>
      </c>
      <c r="X14" s="5">
        <v>2.5</v>
      </c>
      <c r="Y14" s="4">
        <v>450</v>
      </c>
      <c r="Z14" s="5">
        <v>27</v>
      </c>
    </row>
    <row r="15" spans="1:29" x14ac:dyDescent="0.25">
      <c r="A15" s="2" t="s">
        <v>21</v>
      </c>
      <c r="B15" s="6" t="s">
        <v>230</v>
      </c>
      <c r="D15" s="6" t="str">
        <f>VLOOKUP(TRIM(A15),wikily_maps!A:O,15,FALSE)</f>
        <v>Astraeos, Crystal Isles, Extinction, Fjordur, Genesis 2, Genesis, Lost Island, Ragnarok, Scorched Earth, The Center, The Island, Valguero</v>
      </c>
      <c r="E15" s="4">
        <v>500</v>
      </c>
      <c r="F15" s="1">
        <v>100</v>
      </c>
      <c r="G15" s="5">
        <v>5.4</v>
      </c>
      <c r="H15" s="4">
        <v>200</v>
      </c>
      <c r="I15" s="1">
        <v>20</v>
      </c>
      <c r="J15" s="5">
        <v>10</v>
      </c>
      <c r="K15" s="4">
        <v>0</v>
      </c>
      <c r="L15" s="1">
        <v>0</v>
      </c>
      <c r="M15" s="5">
        <v>0</v>
      </c>
      <c r="N15" s="4">
        <v>1200</v>
      </c>
      <c r="O15" s="1">
        <v>120</v>
      </c>
      <c r="P15" s="5">
        <v>10</v>
      </c>
      <c r="Q15" s="4">
        <v>100</v>
      </c>
      <c r="R15" s="1">
        <v>2</v>
      </c>
      <c r="S15" s="5">
        <v>4</v>
      </c>
      <c r="T15" s="4">
        <v>18</v>
      </c>
      <c r="U15" s="1">
        <v>0.9</v>
      </c>
      <c r="V15" s="5">
        <v>1.7</v>
      </c>
      <c r="W15" s="4">
        <v>100</v>
      </c>
      <c r="X15" s="5">
        <v>1</v>
      </c>
      <c r="Y15" s="4">
        <v>175</v>
      </c>
      <c r="Z15" s="5">
        <v>10.5</v>
      </c>
    </row>
    <row r="16" spans="1:29" x14ac:dyDescent="0.25">
      <c r="A16" s="2" t="s">
        <v>22</v>
      </c>
      <c r="B16" s="6" t="s">
        <v>230</v>
      </c>
      <c r="D16" s="6" t="str">
        <f>VLOOKUP(TRIM(A16),wikily_maps!A:O,15,FALSE)</f>
        <v>Genesis 2, Genesis</v>
      </c>
      <c r="E16" s="4">
        <v>2800</v>
      </c>
      <c r="F16" s="1">
        <v>392</v>
      </c>
      <c r="G16" s="5">
        <v>2.16</v>
      </c>
      <c r="H16" s="4">
        <v>600</v>
      </c>
      <c r="I16" s="1">
        <v>30</v>
      </c>
      <c r="J16" s="5">
        <v>5</v>
      </c>
      <c r="K16" s="4">
        <v>0</v>
      </c>
      <c r="L16" s="1">
        <v>0</v>
      </c>
      <c r="M16" s="5">
        <v>0</v>
      </c>
      <c r="N16" s="4">
        <v>6000</v>
      </c>
      <c r="O16" s="1">
        <v>600</v>
      </c>
      <c r="P16" s="5">
        <v>10</v>
      </c>
      <c r="Q16" s="4">
        <v>2000</v>
      </c>
      <c r="R16" s="1">
        <v>40</v>
      </c>
      <c r="S16" s="5">
        <v>5</v>
      </c>
      <c r="T16" s="4">
        <v>30</v>
      </c>
      <c r="U16" s="1">
        <v>1.2</v>
      </c>
      <c r="V16" s="5">
        <v>1.7</v>
      </c>
      <c r="W16" s="4">
        <v>100</v>
      </c>
      <c r="X16" s="5">
        <v>1</v>
      </c>
      <c r="Y16" s="4">
        <v>4200</v>
      </c>
      <c r="Z16" s="5">
        <v>252</v>
      </c>
    </row>
    <row r="17" spans="1:26" x14ac:dyDescent="0.25">
      <c r="A17" s="2" t="s">
        <v>23</v>
      </c>
      <c r="B17" s="6" t="s">
        <v>230</v>
      </c>
      <c r="D17" s="6" t="str">
        <f>VLOOKUP(TRIM(A17),wikily_maps!A:O,15,FALSE)</f>
        <v>Genesis 2</v>
      </c>
      <c r="E17" s="4">
        <v>325</v>
      </c>
      <c r="F17" s="1">
        <v>65</v>
      </c>
      <c r="G17" s="5">
        <v>5.4</v>
      </c>
      <c r="H17" s="4">
        <v>250</v>
      </c>
      <c r="I17" s="1">
        <v>12.5</v>
      </c>
      <c r="J17" s="5">
        <v>6</v>
      </c>
      <c r="K17" s="4">
        <v>150</v>
      </c>
      <c r="L17" s="1">
        <v>15</v>
      </c>
      <c r="M17" s="5">
        <v>10</v>
      </c>
      <c r="N17" s="4">
        <v>1600</v>
      </c>
      <c r="O17" s="1">
        <v>160</v>
      </c>
      <c r="P17" s="5">
        <v>10</v>
      </c>
      <c r="Q17" s="4">
        <v>280</v>
      </c>
      <c r="R17" s="1">
        <v>5.6</v>
      </c>
      <c r="S17" s="5">
        <v>4</v>
      </c>
      <c r="T17" s="4">
        <v>24</v>
      </c>
      <c r="U17" s="1">
        <v>1.2</v>
      </c>
      <c r="V17" s="5">
        <v>1.7</v>
      </c>
      <c r="W17" s="4">
        <v>100</v>
      </c>
      <c r="X17" s="5">
        <v>1</v>
      </c>
      <c r="Y17" s="4">
        <v>450</v>
      </c>
      <c r="Z17" s="5">
        <v>27</v>
      </c>
    </row>
    <row r="18" spans="1:26" x14ac:dyDescent="0.25">
      <c r="A18" s="2" t="s">
        <v>209</v>
      </c>
      <c r="B18" s="6" t="s">
        <v>178</v>
      </c>
      <c r="C18" s="6" t="s">
        <v>187</v>
      </c>
      <c r="D18" s="6" t="s">
        <v>182</v>
      </c>
      <c r="E18" s="4">
        <v>145.80000000000001</v>
      </c>
      <c r="F18" s="5">
        <v>0</v>
      </c>
      <c r="G18" s="5">
        <v>0</v>
      </c>
      <c r="H18" s="4">
        <v>250</v>
      </c>
      <c r="I18" s="5">
        <v>0</v>
      </c>
      <c r="J18" s="5">
        <v>0</v>
      </c>
      <c r="K18" s="4">
        <v>150</v>
      </c>
      <c r="L18" s="5">
        <v>0</v>
      </c>
      <c r="M18" s="5">
        <v>0</v>
      </c>
      <c r="N18" s="4">
        <v>1600</v>
      </c>
      <c r="O18" s="5">
        <v>0</v>
      </c>
      <c r="P18" s="5">
        <v>0</v>
      </c>
      <c r="Q18" s="4">
        <v>280</v>
      </c>
      <c r="R18" s="5">
        <v>0</v>
      </c>
      <c r="S18" s="5">
        <v>0</v>
      </c>
      <c r="T18" s="4">
        <v>280</v>
      </c>
      <c r="U18" s="5">
        <v>0</v>
      </c>
      <c r="V18" s="5">
        <v>0</v>
      </c>
      <c r="W18" s="4">
        <v>100</v>
      </c>
      <c r="X18" s="5">
        <v>0</v>
      </c>
      <c r="Y18" s="4">
        <v>450</v>
      </c>
      <c r="Z18" s="5">
        <v>0</v>
      </c>
    </row>
    <row r="19" spans="1:26" x14ac:dyDescent="0.25">
      <c r="A19" s="2" t="s">
        <v>209</v>
      </c>
      <c r="B19" s="6" t="s">
        <v>177</v>
      </c>
      <c r="C19" s="6" t="s">
        <v>188</v>
      </c>
      <c r="D19" s="6" t="s">
        <v>182</v>
      </c>
      <c r="E19" s="4">
        <v>585</v>
      </c>
      <c r="F19" s="5">
        <v>0</v>
      </c>
      <c r="G19" s="5">
        <v>0</v>
      </c>
      <c r="H19" s="4">
        <v>250</v>
      </c>
      <c r="I19" s="5">
        <v>0</v>
      </c>
      <c r="J19" s="5">
        <v>0</v>
      </c>
      <c r="K19" s="4">
        <v>150</v>
      </c>
      <c r="L19" s="5">
        <v>0</v>
      </c>
      <c r="M19" s="5">
        <v>0</v>
      </c>
      <c r="N19" s="4">
        <v>1600</v>
      </c>
      <c r="O19" s="5">
        <v>0</v>
      </c>
      <c r="P19" s="5">
        <v>0</v>
      </c>
      <c r="Q19" s="4">
        <v>280</v>
      </c>
      <c r="R19" s="5">
        <v>0</v>
      </c>
      <c r="S19" s="5">
        <v>0</v>
      </c>
      <c r="T19" s="4">
        <v>280</v>
      </c>
      <c r="U19" s="5">
        <v>0</v>
      </c>
      <c r="V19" s="5">
        <v>0</v>
      </c>
      <c r="W19" s="4">
        <v>100</v>
      </c>
      <c r="X19" s="5">
        <v>0</v>
      </c>
      <c r="Y19" s="4">
        <v>450</v>
      </c>
      <c r="Z19" s="5">
        <v>0</v>
      </c>
    </row>
    <row r="20" spans="1:26" x14ac:dyDescent="0.25">
      <c r="A20" s="2" t="s">
        <v>209</v>
      </c>
      <c r="B20" s="6" t="s">
        <v>176</v>
      </c>
      <c r="C20" s="6" t="s">
        <v>189</v>
      </c>
      <c r="D20" s="6" t="s">
        <v>182</v>
      </c>
      <c r="E20" s="13">
        <v>877.5</v>
      </c>
      <c r="F20" s="5">
        <v>0</v>
      </c>
      <c r="G20" s="5">
        <v>0</v>
      </c>
      <c r="H20" s="4">
        <v>250</v>
      </c>
      <c r="I20" s="5">
        <v>0</v>
      </c>
      <c r="J20" s="5">
        <v>0</v>
      </c>
      <c r="K20" s="4">
        <v>150</v>
      </c>
      <c r="L20" s="5">
        <v>0</v>
      </c>
      <c r="M20" s="5">
        <v>0</v>
      </c>
      <c r="N20" s="4">
        <v>1600</v>
      </c>
      <c r="O20" s="5">
        <v>0</v>
      </c>
      <c r="P20" s="5">
        <v>0</v>
      </c>
      <c r="Q20" s="4">
        <v>280</v>
      </c>
      <c r="R20" s="5">
        <v>0</v>
      </c>
      <c r="S20" s="5">
        <v>0</v>
      </c>
      <c r="T20" s="4">
        <v>280</v>
      </c>
      <c r="U20" s="5">
        <v>0</v>
      </c>
      <c r="V20" s="5">
        <v>0</v>
      </c>
      <c r="W20" s="4">
        <v>100</v>
      </c>
      <c r="X20" s="5">
        <v>0</v>
      </c>
      <c r="Y20" s="4">
        <v>450</v>
      </c>
      <c r="Z20" s="5">
        <v>0</v>
      </c>
    </row>
    <row r="21" spans="1:26" x14ac:dyDescent="0.25">
      <c r="A21" s="2" t="s">
        <v>209</v>
      </c>
      <c r="B21" s="6" t="s">
        <v>178</v>
      </c>
      <c r="C21" s="6" t="s">
        <v>187</v>
      </c>
      <c r="D21" s="6" t="s">
        <v>182</v>
      </c>
      <c r="E21" s="4">
        <v>145.80000000000001</v>
      </c>
      <c r="F21" s="5">
        <v>0</v>
      </c>
      <c r="G21" s="5">
        <v>0</v>
      </c>
      <c r="H21" s="4">
        <v>250</v>
      </c>
      <c r="I21" s="5">
        <v>0</v>
      </c>
      <c r="J21" s="5">
        <v>0</v>
      </c>
      <c r="K21" s="4">
        <v>150</v>
      </c>
      <c r="L21" s="5">
        <v>0</v>
      </c>
      <c r="M21" s="5">
        <v>0</v>
      </c>
      <c r="N21" s="4">
        <v>1600</v>
      </c>
      <c r="O21" s="5">
        <v>0</v>
      </c>
      <c r="P21" s="5">
        <v>0</v>
      </c>
      <c r="Q21" s="4">
        <v>280</v>
      </c>
      <c r="R21" s="5">
        <v>0</v>
      </c>
      <c r="S21" s="5">
        <v>0</v>
      </c>
      <c r="T21" s="4">
        <v>280</v>
      </c>
      <c r="U21" s="5">
        <v>0</v>
      </c>
      <c r="V21" s="5">
        <v>0</v>
      </c>
      <c r="W21" s="4">
        <v>100</v>
      </c>
      <c r="X21" s="5">
        <v>0</v>
      </c>
      <c r="Y21" s="4">
        <v>450</v>
      </c>
      <c r="Z21" s="5">
        <v>0</v>
      </c>
    </row>
    <row r="22" spans="1:26" x14ac:dyDescent="0.25">
      <c r="A22" s="2" t="s">
        <v>209</v>
      </c>
      <c r="B22" s="6" t="s">
        <v>177</v>
      </c>
      <c r="C22" s="6" t="s">
        <v>188</v>
      </c>
      <c r="D22" s="6" t="s">
        <v>182</v>
      </c>
      <c r="E22" s="4">
        <v>585</v>
      </c>
      <c r="F22" s="5">
        <v>0</v>
      </c>
      <c r="G22" s="5">
        <v>0</v>
      </c>
      <c r="H22" s="4">
        <v>250</v>
      </c>
      <c r="I22" s="5">
        <v>0</v>
      </c>
      <c r="J22" s="5">
        <v>0</v>
      </c>
      <c r="K22" s="4">
        <v>150</v>
      </c>
      <c r="L22" s="5">
        <v>0</v>
      </c>
      <c r="M22" s="5">
        <v>0</v>
      </c>
      <c r="N22" s="4">
        <v>1600</v>
      </c>
      <c r="O22" s="5">
        <v>0</v>
      </c>
      <c r="P22" s="5">
        <v>0</v>
      </c>
      <c r="Q22" s="4">
        <v>280</v>
      </c>
      <c r="R22" s="5">
        <v>0</v>
      </c>
      <c r="S22" s="5">
        <v>0</v>
      </c>
      <c r="T22" s="4">
        <v>280</v>
      </c>
      <c r="U22" s="5">
        <v>0</v>
      </c>
      <c r="V22" s="5">
        <v>0</v>
      </c>
      <c r="W22" s="4">
        <v>100</v>
      </c>
      <c r="X22" s="5">
        <v>0</v>
      </c>
      <c r="Y22" s="4">
        <v>450</v>
      </c>
      <c r="Z22" s="5">
        <v>0</v>
      </c>
    </row>
    <row r="23" spans="1:26" x14ac:dyDescent="0.25">
      <c r="A23" s="2" t="s">
        <v>209</v>
      </c>
      <c r="B23" s="6" t="s">
        <v>176</v>
      </c>
      <c r="C23" s="6" t="s">
        <v>189</v>
      </c>
      <c r="D23" s="6" t="s">
        <v>182</v>
      </c>
      <c r="E23" s="13">
        <v>877.5</v>
      </c>
      <c r="F23" s="5">
        <v>0</v>
      </c>
      <c r="G23" s="5">
        <v>0</v>
      </c>
      <c r="H23" s="4">
        <v>250</v>
      </c>
      <c r="I23" s="5">
        <v>0</v>
      </c>
      <c r="J23" s="5">
        <v>0</v>
      </c>
      <c r="K23" s="4">
        <v>150</v>
      </c>
      <c r="L23" s="5">
        <v>0</v>
      </c>
      <c r="M23" s="5">
        <v>0</v>
      </c>
      <c r="N23" s="4">
        <v>1600</v>
      </c>
      <c r="O23" s="5">
        <v>0</v>
      </c>
      <c r="P23" s="5">
        <v>0</v>
      </c>
      <c r="Q23" s="4">
        <v>280</v>
      </c>
      <c r="R23" s="5">
        <v>0</v>
      </c>
      <c r="S23" s="5">
        <v>0</v>
      </c>
      <c r="T23" s="4">
        <v>280</v>
      </c>
      <c r="U23" s="5">
        <v>0</v>
      </c>
      <c r="V23" s="5">
        <v>0</v>
      </c>
      <c r="W23" s="4">
        <v>100</v>
      </c>
      <c r="X23" s="5">
        <v>0</v>
      </c>
      <c r="Y23" s="4">
        <v>450</v>
      </c>
      <c r="Z23" s="5">
        <v>0</v>
      </c>
    </row>
    <row r="24" spans="1:26" x14ac:dyDescent="0.25">
      <c r="A24" s="2" t="s">
        <v>209</v>
      </c>
      <c r="B24" s="6" t="s">
        <v>178</v>
      </c>
      <c r="C24" s="6" t="s">
        <v>187</v>
      </c>
      <c r="D24" s="6" t="s">
        <v>182</v>
      </c>
      <c r="E24" s="4">
        <v>145.80000000000001</v>
      </c>
      <c r="F24" s="5">
        <v>0</v>
      </c>
      <c r="G24" s="5">
        <v>0</v>
      </c>
      <c r="H24" s="4">
        <v>250</v>
      </c>
      <c r="I24" s="5">
        <v>0</v>
      </c>
      <c r="J24" s="5">
        <v>0</v>
      </c>
      <c r="K24" s="4">
        <v>150</v>
      </c>
      <c r="L24" s="5">
        <v>0</v>
      </c>
      <c r="M24" s="5">
        <v>0</v>
      </c>
      <c r="N24" s="4">
        <v>1600</v>
      </c>
      <c r="O24" s="5">
        <v>0</v>
      </c>
      <c r="P24" s="5">
        <v>0</v>
      </c>
      <c r="Q24" s="4">
        <v>280</v>
      </c>
      <c r="R24" s="5">
        <v>0</v>
      </c>
      <c r="S24" s="5">
        <v>0</v>
      </c>
      <c r="T24" s="4">
        <v>280</v>
      </c>
      <c r="U24" s="5">
        <v>0</v>
      </c>
      <c r="V24" s="5">
        <v>0</v>
      </c>
      <c r="W24" s="4">
        <v>100</v>
      </c>
      <c r="X24" s="5">
        <v>0</v>
      </c>
      <c r="Y24" s="4">
        <v>450</v>
      </c>
      <c r="Z24" s="5">
        <v>0</v>
      </c>
    </row>
    <row r="25" spans="1:26" x14ac:dyDescent="0.25">
      <c r="A25" s="2" t="s">
        <v>209</v>
      </c>
      <c r="B25" s="6" t="s">
        <v>177</v>
      </c>
      <c r="C25" s="6" t="s">
        <v>188</v>
      </c>
      <c r="D25" s="6" t="s">
        <v>182</v>
      </c>
      <c r="E25" s="4">
        <v>585</v>
      </c>
      <c r="F25" s="5">
        <v>0</v>
      </c>
      <c r="G25" s="5">
        <v>0</v>
      </c>
      <c r="H25" s="4">
        <v>250</v>
      </c>
      <c r="I25" s="5">
        <v>0</v>
      </c>
      <c r="J25" s="5">
        <v>0</v>
      </c>
      <c r="K25" s="4">
        <v>150</v>
      </c>
      <c r="L25" s="5">
        <v>0</v>
      </c>
      <c r="M25" s="5">
        <v>0</v>
      </c>
      <c r="N25" s="4">
        <v>1600</v>
      </c>
      <c r="O25" s="5">
        <v>0</v>
      </c>
      <c r="P25" s="5">
        <v>0</v>
      </c>
      <c r="Q25" s="4">
        <v>280</v>
      </c>
      <c r="R25" s="5">
        <v>0</v>
      </c>
      <c r="S25" s="5">
        <v>0</v>
      </c>
      <c r="T25" s="4">
        <v>280</v>
      </c>
      <c r="U25" s="5">
        <v>0</v>
      </c>
      <c r="V25" s="5">
        <v>0</v>
      </c>
      <c r="W25" s="4">
        <v>100</v>
      </c>
      <c r="X25" s="5">
        <v>0</v>
      </c>
      <c r="Y25" s="4">
        <v>450</v>
      </c>
      <c r="Z25" s="5">
        <v>0</v>
      </c>
    </row>
    <row r="26" spans="1:26" x14ac:dyDescent="0.25">
      <c r="A26" s="2" t="s">
        <v>209</v>
      </c>
      <c r="B26" s="6" t="s">
        <v>176</v>
      </c>
      <c r="C26" s="6" t="s">
        <v>189</v>
      </c>
      <c r="D26" s="6" t="s">
        <v>182</v>
      </c>
      <c r="E26" s="13">
        <v>877.5</v>
      </c>
      <c r="F26" s="5">
        <v>0</v>
      </c>
      <c r="G26" s="5">
        <v>0</v>
      </c>
      <c r="H26" s="4">
        <v>250</v>
      </c>
      <c r="I26" s="5">
        <v>0</v>
      </c>
      <c r="J26" s="5">
        <v>0</v>
      </c>
      <c r="K26" s="4">
        <v>150</v>
      </c>
      <c r="L26" s="5">
        <v>0</v>
      </c>
      <c r="M26" s="5">
        <v>0</v>
      </c>
      <c r="N26" s="4">
        <v>1600</v>
      </c>
      <c r="O26" s="5">
        <v>0</v>
      </c>
      <c r="P26" s="5">
        <v>0</v>
      </c>
      <c r="Q26" s="4">
        <v>280</v>
      </c>
      <c r="R26" s="5">
        <v>0</v>
      </c>
      <c r="S26" s="5">
        <v>0</v>
      </c>
      <c r="T26" s="4">
        <v>280</v>
      </c>
      <c r="U26" s="5">
        <v>0</v>
      </c>
      <c r="V26" s="5">
        <v>0</v>
      </c>
      <c r="W26" s="4">
        <v>100</v>
      </c>
      <c r="X26" s="5">
        <v>0</v>
      </c>
      <c r="Y26" s="4">
        <v>450</v>
      </c>
      <c r="Z26" s="5">
        <v>0</v>
      </c>
    </row>
    <row r="27" spans="1:26" x14ac:dyDescent="0.25">
      <c r="A27" s="2" t="s">
        <v>209</v>
      </c>
      <c r="B27" s="6" t="s">
        <v>178</v>
      </c>
      <c r="C27" s="6" t="s">
        <v>187</v>
      </c>
      <c r="D27" s="6" t="s">
        <v>182</v>
      </c>
      <c r="E27" s="4">
        <v>145.80000000000001</v>
      </c>
      <c r="F27" s="5">
        <v>0</v>
      </c>
      <c r="G27" s="5">
        <v>0</v>
      </c>
      <c r="H27" s="4">
        <v>250</v>
      </c>
      <c r="I27" s="5">
        <v>0</v>
      </c>
      <c r="J27" s="5">
        <v>0</v>
      </c>
      <c r="K27" s="4">
        <v>150</v>
      </c>
      <c r="L27" s="5">
        <v>0</v>
      </c>
      <c r="M27" s="5">
        <v>0</v>
      </c>
      <c r="N27" s="4">
        <v>1600</v>
      </c>
      <c r="O27" s="5">
        <v>0</v>
      </c>
      <c r="P27" s="5">
        <v>0</v>
      </c>
      <c r="Q27" s="4">
        <v>280</v>
      </c>
      <c r="R27" s="5">
        <v>0</v>
      </c>
      <c r="S27" s="5">
        <v>0</v>
      </c>
      <c r="T27" s="4">
        <v>280</v>
      </c>
      <c r="U27" s="5">
        <v>0</v>
      </c>
      <c r="V27" s="5">
        <v>0</v>
      </c>
      <c r="W27" s="4">
        <v>100</v>
      </c>
      <c r="X27" s="5">
        <v>0</v>
      </c>
      <c r="Y27" s="4">
        <v>450</v>
      </c>
      <c r="Z27" s="5">
        <v>0</v>
      </c>
    </row>
    <row r="28" spans="1:26" x14ac:dyDescent="0.25">
      <c r="A28" s="2" t="s">
        <v>209</v>
      </c>
      <c r="B28" s="6" t="s">
        <v>177</v>
      </c>
      <c r="C28" s="6" t="s">
        <v>188</v>
      </c>
      <c r="D28" s="6" t="s">
        <v>182</v>
      </c>
      <c r="E28" s="4">
        <v>585</v>
      </c>
      <c r="F28" s="5">
        <v>0</v>
      </c>
      <c r="G28" s="5">
        <v>0</v>
      </c>
      <c r="H28" s="4">
        <v>250</v>
      </c>
      <c r="I28" s="5">
        <v>0</v>
      </c>
      <c r="J28" s="5">
        <v>0</v>
      </c>
      <c r="K28" s="4">
        <v>150</v>
      </c>
      <c r="L28" s="5">
        <v>0</v>
      </c>
      <c r="M28" s="5">
        <v>0</v>
      </c>
      <c r="N28" s="4">
        <v>1600</v>
      </c>
      <c r="O28" s="5">
        <v>0</v>
      </c>
      <c r="P28" s="5">
        <v>0</v>
      </c>
      <c r="Q28" s="4">
        <v>280</v>
      </c>
      <c r="R28" s="5">
        <v>0</v>
      </c>
      <c r="S28" s="5">
        <v>0</v>
      </c>
      <c r="T28" s="4">
        <v>280</v>
      </c>
      <c r="U28" s="5">
        <v>0</v>
      </c>
      <c r="V28" s="5">
        <v>0</v>
      </c>
      <c r="W28" s="4">
        <v>100</v>
      </c>
      <c r="X28" s="5">
        <v>0</v>
      </c>
      <c r="Y28" s="4">
        <v>450</v>
      </c>
      <c r="Z28" s="5">
        <v>0</v>
      </c>
    </row>
    <row r="29" spans="1:26" x14ac:dyDescent="0.25">
      <c r="A29" s="2" t="s">
        <v>209</v>
      </c>
      <c r="B29" s="6" t="s">
        <v>176</v>
      </c>
      <c r="C29" s="6" t="s">
        <v>189</v>
      </c>
      <c r="D29" s="6" t="s">
        <v>182</v>
      </c>
      <c r="E29" s="13">
        <v>877.5</v>
      </c>
      <c r="F29" s="5">
        <v>0</v>
      </c>
      <c r="G29" s="5">
        <v>0</v>
      </c>
      <c r="H29" s="4">
        <v>250</v>
      </c>
      <c r="I29" s="5">
        <v>0</v>
      </c>
      <c r="J29" s="5">
        <v>0</v>
      </c>
      <c r="K29" s="4">
        <v>150</v>
      </c>
      <c r="L29" s="5">
        <v>0</v>
      </c>
      <c r="M29" s="5">
        <v>0</v>
      </c>
      <c r="N29" s="4">
        <v>1600</v>
      </c>
      <c r="O29" s="5">
        <v>0</v>
      </c>
      <c r="P29" s="5">
        <v>0</v>
      </c>
      <c r="Q29" s="4">
        <v>280</v>
      </c>
      <c r="R29" s="5">
        <v>0</v>
      </c>
      <c r="S29" s="5">
        <v>0</v>
      </c>
      <c r="T29" s="4">
        <v>280</v>
      </c>
      <c r="U29" s="5">
        <v>0</v>
      </c>
      <c r="V29" s="5">
        <v>0</v>
      </c>
      <c r="W29" s="4">
        <v>100</v>
      </c>
      <c r="X29" s="5">
        <v>0</v>
      </c>
      <c r="Y29" s="4">
        <v>450</v>
      </c>
      <c r="Z29" s="5">
        <v>0</v>
      </c>
    </row>
    <row r="30" spans="1:26" x14ac:dyDescent="0.25">
      <c r="A30" s="2" t="s">
        <v>209</v>
      </c>
      <c r="B30" s="6" t="s">
        <v>178</v>
      </c>
      <c r="C30" s="6" t="s">
        <v>187</v>
      </c>
      <c r="D30" s="6" t="s">
        <v>182</v>
      </c>
      <c r="E30" s="4">
        <v>145.80000000000001</v>
      </c>
      <c r="F30" s="5">
        <v>0</v>
      </c>
      <c r="G30" s="5">
        <v>0</v>
      </c>
      <c r="H30" s="4">
        <v>250</v>
      </c>
      <c r="I30" s="5">
        <v>0</v>
      </c>
      <c r="J30" s="5">
        <v>0</v>
      </c>
      <c r="K30" s="4">
        <v>150</v>
      </c>
      <c r="L30" s="5">
        <v>0</v>
      </c>
      <c r="M30" s="5">
        <v>0</v>
      </c>
      <c r="N30" s="4">
        <v>1600</v>
      </c>
      <c r="O30" s="5">
        <v>0</v>
      </c>
      <c r="P30" s="5">
        <v>0</v>
      </c>
      <c r="Q30" s="4">
        <v>280</v>
      </c>
      <c r="R30" s="5">
        <v>0</v>
      </c>
      <c r="S30" s="5">
        <v>0</v>
      </c>
      <c r="T30" s="4">
        <v>280</v>
      </c>
      <c r="U30" s="5">
        <v>0</v>
      </c>
      <c r="V30" s="5">
        <v>0</v>
      </c>
      <c r="W30" s="4">
        <v>100</v>
      </c>
      <c r="X30" s="5">
        <v>0</v>
      </c>
      <c r="Y30" s="4">
        <v>450</v>
      </c>
      <c r="Z30" s="5">
        <v>0</v>
      </c>
    </row>
    <row r="31" spans="1:26" x14ac:dyDescent="0.25">
      <c r="A31" s="2" t="s">
        <v>209</v>
      </c>
      <c r="B31" s="6" t="s">
        <v>177</v>
      </c>
      <c r="C31" s="6" t="s">
        <v>188</v>
      </c>
      <c r="D31" s="6" t="s">
        <v>182</v>
      </c>
      <c r="E31" s="4">
        <v>585</v>
      </c>
      <c r="F31" s="5">
        <v>0</v>
      </c>
      <c r="G31" s="5">
        <v>0</v>
      </c>
      <c r="H31" s="4">
        <v>250</v>
      </c>
      <c r="I31" s="5">
        <v>0</v>
      </c>
      <c r="J31" s="5">
        <v>0</v>
      </c>
      <c r="K31" s="4">
        <v>150</v>
      </c>
      <c r="L31" s="5">
        <v>0</v>
      </c>
      <c r="M31" s="5">
        <v>0</v>
      </c>
      <c r="N31" s="4">
        <v>1600</v>
      </c>
      <c r="O31" s="5">
        <v>0</v>
      </c>
      <c r="P31" s="5">
        <v>0</v>
      </c>
      <c r="Q31" s="4">
        <v>280</v>
      </c>
      <c r="R31" s="5">
        <v>0</v>
      </c>
      <c r="S31" s="5">
        <v>0</v>
      </c>
      <c r="T31" s="4">
        <v>280</v>
      </c>
      <c r="U31" s="5">
        <v>0</v>
      </c>
      <c r="V31" s="5">
        <v>0</v>
      </c>
      <c r="W31" s="4">
        <v>100</v>
      </c>
      <c r="X31" s="5">
        <v>0</v>
      </c>
      <c r="Y31" s="4">
        <v>450</v>
      </c>
      <c r="Z31" s="5">
        <v>0</v>
      </c>
    </row>
    <row r="32" spans="1:26" x14ac:dyDescent="0.25">
      <c r="A32" s="2" t="s">
        <v>209</v>
      </c>
      <c r="B32" s="6" t="s">
        <v>176</v>
      </c>
      <c r="C32" s="6" t="s">
        <v>189</v>
      </c>
      <c r="D32" s="6" t="s">
        <v>182</v>
      </c>
      <c r="E32" s="13">
        <v>877.5</v>
      </c>
      <c r="F32" s="5">
        <v>0</v>
      </c>
      <c r="G32" s="5">
        <v>0</v>
      </c>
      <c r="H32" s="4">
        <v>250</v>
      </c>
      <c r="I32" s="5">
        <v>0</v>
      </c>
      <c r="J32" s="5">
        <v>0</v>
      </c>
      <c r="K32" s="4">
        <v>150</v>
      </c>
      <c r="L32" s="5">
        <v>0</v>
      </c>
      <c r="M32" s="5">
        <v>0</v>
      </c>
      <c r="N32" s="4">
        <v>1600</v>
      </c>
      <c r="O32" s="5">
        <v>0</v>
      </c>
      <c r="P32" s="5">
        <v>0</v>
      </c>
      <c r="Q32" s="4">
        <v>280</v>
      </c>
      <c r="R32" s="5">
        <v>0</v>
      </c>
      <c r="S32" s="5">
        <v>0</v>
      </c>
      <c r="T32" s="4">
        <v>280</v>
      </c>
      <c r="U32" s="5">
        <v>0</v>
      </c>
      <c r="V32" s="5">
        <v>0</v>
      </c>
      <c r="W32" s="4">
        <v>100</v>
      </c>
      <c r="X32" s="5">
        <v>0</v>
      </c>
      <c r="Y32" s="4">
        <v>450</v>
      </c>
      <c r="Z32" s="5">
        <v>0</v>
      </c>
    </row>
    <row r="33" spans="1:26" x14ac:dyDescent="0.25">
      <c r="A33" s="2" t="s">
        <v>24</v>
      </c>
      <c r="B33" s="6" t="s">
        <v>230</v>
      </c>
      <c r="D33" s="6" t="str">
        <f>VLOOKUP(TRIM(A33),wikily_maps!A:O,15,FALSE)</f>
        <v>Astraeos, Crystal Isles, Extinction, Fjordur, Genesis 2, Genesis, Lost Island, Ragnarok, The Center, The Island, Valguero</v>
      </c>
      <c r="E33" s="4">
        <v>440</v>
      </c>
      <c r="F33" s="1">
        <v>88</v>
      </c>
      <c r="G33" s="5">
        <v>5.4</v>
      </c>
      <c r="H33" s="4">
        <v>325</v>
      </c>
      <c r="I33" s="1">
        <v>32.5</v>
      </c>
      <c r="J33" s="5">
        <v>10</v>
      </c>
      <c r="K33" s="4">
        <v>225</v>
      </c>
      <c r="L33" s="1">
        <v>22.5</v>
      </c>
      <c r="M33" s="5">
        <v>0</v>
      </c>
      <c r="N33" s="4">
        <v>2250</v>
      </c>
      <c r="O33" s="1">
        <v>225</v>
      </c>
      <c r="P33" s="5">
        <v>10</v>
      </c>
      <c r="Q33" s="4">
        <v>325</v>
      </c>
      <c r="R33" s="1">
        <v>6.5</v>
      </c>
      <c r="S33" s="5">
        <v>4</v>
      </c>
      <c r="T33" s="4">
        <v>35</v>
      </c>
      <c r="U33" s="1">
        <v>1.75</v>
      </c>
      <c r="V33" s="5">
        <v>1.7</v>
      </c>
      <c r="W33" s="4">
        <v>100</v>
      </c>
      <c r="X33" s="5">
        <v>1</v>
      </c>
      <c r="Y33" s="4">
        <v>400</v>
      </c>
      <c r="Z33" s="5">
        <v>24</v>
      </c>
    </row>
    <row r="34" spans="1:26" x14ac:dyDescent="0.25">
      <c r="A34" s="2" t="s">
        <v>25</v>
      </c>
      <c r="B34" s="6" t="s">
        <v>230</v>
      </c>
      <c r="D34" s="6" t="str">
        <f>VLOOKUP(TRIM(A34),wikily_maps!A:O,15,FALSE)</f>
        <v>Aberration, Crystal Isles, Fjordur, Genesis 2, Genesis, Lost Island, Valguero</v>
      </c>
      <c r="E34" s="4">
        <v>2750</v>
      </c>
      <c r="F34" s="1">
        <v>550</v>
      </c>
      <c r="G34" s="5">
        <v>5.4</v>
      </c>
      <c r="H34" s="4">
        <v>650</v>
      </c>
      <c r="I34" s="1">
        <v>65</v>
      </c>
      <c r="J34" s="5">
        <v>10</v>
      </c>
      <c r="K34" s="4">
        <v>0</v>
      </c>
      <c r="L34" s="1">
        <v>0</v>
      </c>
      <c r="M34" s="5">
        <v>0</v>
      </c>
      <c r="N34" s="4">
        <v>2500</v>
      </c>
      <c r="O34" s="1">
        <v>250</v>
      </c>
      <c r="P34" s="5">
        <v>10</v>
      </c>
      <c r="Q34" s="4">
        <v>800</v>
      </c>
      <c r="R34" s="1">
        <v>16</v>
      </c>
      <c r="S34" s="5">
        <v>4</v>
      </c>
      <c r="T34" s="4">
        <v>44</v>
      </c>
      <c r="U34" s="1">
        <v>2.2000000000000002</v>
      </c>
      <c r="V34" s="5">
        <v>1.7</v>
      </c>
      <c r="W34" s="4">
        <v>100</v>
      </c>
      <c r="X34" s="5">
        <v>1</v>
      </c>
      <c r="Y34" s="4">
        <v>175</v>
      </c>
      <c r="Z34" s="5">
        <v>10.5</v>
      </c>
    </row>
    <row r="35" spans="1:26" x14ac:dyDescent="0.25">
      <c r="A35" s="2" t="s">
        <v>26</v>
      </c>
      <c r="B35" s="6" t="s">
        <v>230</v>
      </c>
      <c r="D35" s="6" t="str">
        <f>VLOOKUP(TRIM(A35),wikily_maps!A:O,15,FALSE)</f>
        <v>Crystal Isles, Fjordur, Genesis 2, Lost Island, Ragnarok, The Center, The Island, Valguero</v>
      </c>
      <c r="E35" s="4">
        <v>2400</v>
      </c>
      <c r="F35" s="1">
        <v>480</v>
      </c>
      <c r="G35" s="5">
        <v>4.8600000000000003</v>
      </c>
      <c r="H35" s="4">
        <v>300</v>
      </c>
      <c r="I35" s="1">
        <v>30</v>
      </c>
      <c r="J35" s="5">
        <v>10</v>
      </c>
      <c r="K35" s="4">
        <v>150</v>
      </c>
      <c r="L35" s="1">
        <v>15</v>
      </c>
      <c r="M35" s="5">
        <v>0</v>
      </c>
      <c r="N35" s="4">
        <v>8000</v>
      </c>
      <c r="O35" s="1">
        <v>800</v>
      </c>
      <c r="P35" s="5">
        <v>10</v>
      </c>
      <c r="Q35" s="4">
        <v>700</v>
      </c>
      <c r="R35" s="1">
        <v>14</v>
      </c>
      <c r="S35" s="5">
        <v>4</v>
      </c>
      <c r="T35" s="4">
        <v>47</v>
      </c>
      <c r="U35" s="1">
        <v>2.35</v>
      </c>
      <c r="V35" s="5">
        <v>1.7</v>
      </c>
      <c r="W35" s="4">
        <v>100</v>
      </c>
      <c r="X35" s="5">
        <v>1</v>
      </c>
      <c r="Y35" s="4">
        <v>2000</v>
      </c>
      <c r="Z35" s="5">
        <v>120</v>
      </c>
    </row>
    <row r="36" spans="1:26" x14ac:dyDescent="0.25">
      <c r="A36" s="2" t="s">
        <v>27</v>
      </c>
      <c r="B36" s="6" t="s">
        <v>230</v>
      </c>
      <c r="D36" s="6" t="str">
        <f>VLOOKUP(TRIM(A36),wikily_maps!A:O,15,FALSE)</f>
        <v>Astraeos, Crystal Isles, Extinction, Fjordur, Genesis 2, Genesis, Lost Island, Ragnarok, The Center, The Island, Valguero</v>
      </c>
      <c r="E36" s="4">
        <v>220</v>
      </c>
      <c r="F36" s="1">
        <v>44</v>
      </c>
      <c r="G36" s="5">
        <v>5.4</v>
      </c>
      <c r="H36" s="4">
        <v>190</v>
      </c>
      <c r="I36" s="1">
        <v>19</v>
      </c>
      <c r="J36" s="5">
        <v>10</v>
      </c>
      <c r="K36" s="4">
        <v>150</v>
      </c>
      <c r="L36" s="1">
        <v>15</v>
      </c>
      <c r="M36" s="5">
        <v>0</v>
      </c>
      <c r="N36" s="4">
        <v>1500</v>
      </c>
      <c r="O36" s="1">
        <v>150</v>
      </c>
      <c r="P36" s="5">
        <v>10</v>
      </c>
      <c r="Q36" s="4">
        <v>160</v>
      </c>
      <c r="R36" s="1">
        <v>3.2</v>
      </c>
      <c r="S36" s="5">
        <v>4</v>
      </c>
      <c r="T36" s="4">
        <v>12</v>
      </c>
      <c r="U36" s="1">
        <v>0.6</v>
      </c>
      <c r="V36" s="5">
        <v>1.7</v>
      </c>
      <c r="W36" s="4">
        <v>100</v>
      </c>
      <c r="X36" s="5">
        <v>2</v>
      </c>
      <c r="Y36" s="4">
        <v>200</v>
      </c>
      <c r="Z36" s="5">
        <v>12</v>
      </c>
    </row>
    <row r="37" spans="1:26" x14ac:dyDescent="0.25">
      <c r="A37" s="2" t="s">
        <v>210</v>
      </c>
      <c r="B37" s="6" t="s">
        <v>175</v>
      </c>
      <c r="C37" s="6" t="s">
        <v>190</v>
      </c>
      <c r="D37" s="6" t="s">
        <v>183</v>
      </c>
      <c r="E37" s="4">
        <v>175000</v>
      </c>
      <c r="F37" s="5">
        <v>0</v>
      </c>
      <c r="G37" s="5">
        <v>0</v>
      </c>
      <c r="H37" s="4">
        <v>1250</v>
      </c>
      <c r="I37" s="5">
        <v>0</v>
      </c>
      <c r="J37" s="5">
        <v>0</v>
      </c>
      <c r="K37" s="4">
        <v>300</v>
      </c>
      <c r="L37" s="5">
        <v>0</v>
      </c>
      <c r="M37" s="5">
        <v>0</v>
      </c>
      <c r="N37" s="4">
        <v>1500</v>
      </c>
      <c r="O37" s="5">
        <v>0</v>
      </c>
      <c r="P37" s="5">
        <v>0</v>
      </c>
      <c r="Q37" s="4">
        <v>400</v>
      </c>
      <c r="R37" s="5">
        <v>0</v>
      </c>
      <c r="S37" s="5">
        <v>0</v>
      </c>
      <c r="T37" s="4">
        <v>150</v>
      </c>
      <c r="U37" s="5">
        <v>0</v>
      </c>
      <c r="V37" s="5">
        <v>0</v>
      </c>
      <c r="W37" s="4">
        <v>100</v>
      </c>
      <c r="X37" s="5">
        <v>0</v>
      </c>
      <c r="Y37" s="4">
        <v>1500</v>
      </c>
      <c r="Z37" s="5">
        <v>0</v>
      </c>
    </row>
    <row r="38" spans="1:26" x14ac:dyDescent="0.25">
      <c r="A38" s="2" t="s">
        <v>28</v>
      </c>
      <c r="B38" s="6" t="s">
        <v>230</v>
      </c>
      <c r="D38" s="6" t="str">
        <f>VLOOKUP(TRIM(A38),wikily_maps!A:O,15,FALSE)</f>
        <v>Ragnarok, Valguero</v>
      </c>
      <c r="E38" s="4">
        <v>800</v>
      </c>
      <c r="F38" s="1">
        <v>160</v>
      </c>
      <c r="G38" s="5">
        <v>5.4</v>
      </c>
      <c r="H38" s="4">
        <v>500</v>
      </c>
      <c r="I38" s="1">
        <v>50</v>
      </c>
      <c r="J38" s="5">
        <v>10</v>
      </c>
      <c r="K38" s="4">
        <v>150</v>
      </c>
      <c r="L38" s="1">
        <v>15</v>
      </c>
      <c r="M38" s="5">
        <v>10</v>
      </c>
      <c r="N38" s="4">
        <v>3250</v>
      </c>
      <c r="O38" s="1">
        <v>325</v>
      </c>
      <c r="P38" s="5">
        <v>10</v>
      </c>
      <c r="Q38" s="4">
        <v>650</v>
      </c>
      <c r="R38" s="1">
        <v>13</v>
      </c>
      <c r="S38" s="5">
        <v>4</v>
      </c>
      <c r="T38" s="4">
        <v>30</v>
      </c>
      <c r="U38" s="1">
        <v>1.5</v>
      </c>
      <c r="V38" s="5">
        <v>1.7</v>
      </c>
      <c r="W38" s="4">
        <v>100</v>
      </c>
      <c r="X38" s="5">
        <v>1</v>
      </c>
      <c r="Y38" s="4">
        <v>500</v>
      </c>
      <c r="Z38" s="5">
        <v>30</v>
      </c>
    </row>
    <row r="39" spans="1:26" x14ac:dyDescent="0.25">
      <c r="A39" s="2" t="s">
        <v>29</v>
      </c>
      <c r="B39" s="6" t="s">
        <v>230</v>
      </c>
      <c r="D39" s="6" t="str">
        <f>VLOOKUP(TRIM(A39),wikily_maps!A:O,15,FALSE)</f>
        <v>Genesis 2, Genesis</v>
      </c>
      <c r="E39" s="4">
        <v>450</v>
      </c>
      <c r="F39" s="1">
        <v>90</v>
      </c>
      <c r="G39" s="5">
        <v>5.4</v>
      </c>
      <c r="H39" s="4">
        <v>600</v>
      </c>
      <c r="I39" s="1">
        <v>60</v>
      </c>
      <c r="J39" s="5">
        <v>10</v>
      </c>
      <c r="K39" s="4">
        <v>150</v>
      </c>
      <c r="L39" s="1">
        <v>15</v>
      </c>
      <c r="M39" s="5">
        <v>10</v>
      </c>
      <c r="N39" s="4">
        <v>1200</v>
      </c>
      <c r="O39" s="1">
        <v>120</v>
      </c>
      <c r="P39" s="5">
        <v>10</v>
      </c>
      <c r="Q39" s="4">
        <v>350</v>
      </c>
      <c r="R39" s="1">
        <v>7</v>
      </c>
      <c r="S39" s="5">
        <v>4</v>
      </c>
      <c r="T39" s="4">
        <v>26</v>
      </c>
      <c r="U39" s="1">
        <v>1.3</v>
      </c>
      <c r="V39" s="5">
        <v>1.7</v>
      </c>
      <c r="W39" s="4">
        <v>100</v>
      </c>
      <c r="X39" s="5">
        <v>1.5</v>
      </c>
      <c r="Y39" s="4">
        <v>180</v>
      </c>
      <c r="Z39" s="5">
        <v>10.8</v>
      </c>
    </row>
    <row r="40" spans="1:26" x14ac:dyDescent="0.25">
      <c r="A40" s="2" t="s">
        <v>30</v>
      </c>
      <c r="B40" s="6" t="s">
        <v>230</v>
      </c>
      <c r="D40" s="6" t="str">
        <f>VLOOKUP(TRIM(A40),wikily_maps!A:O,15,FALSE)</f>
        <v>Astraeos, Crystal Isles, Extinction, Fjordur, Genesis 2, Genesis, Lost Island, Ragnarok, The Center, The Island, Valguero</v>
      </c>
      <c r="E40" s="4">
        <v>2277</v>
      </c>
      <c r="F40" s="1">
        <v>455.4</v>
      </c>
      <c r="G40" s="12">
        <v>2.5</v>
      </c>
      <c r="H40" s="4">
        <v>240</v>
      </c>
      <c r="I40" s="1">
        <v>24</v>
      </c>
      <c r="J40" s="5">
        <v>10</v>
      </c>
      <c r="K40" s="4">
        <v>150</v>
      </c>
      <c r="L40" s="1">
        <v>15</v>
      </c>
      <c r="M40" s="5">
        <v>10</v>
      </c>
      <c r="N40" s="4">
        <v>10000</v>
      </c>
      <c r="O40" s="1">
        <v>1000</v>
      </c>
      <c r="P40" s="5">
        <v>10</v>
      </c>
      <c r="Q40" s="4">
        <v>1600</v>
      </c>
      <c r="R40" s="1">
        <v>32</v>
      </c>
      <c r="S40" s="5">
        <v>4</v>
      </c>
      <c r="T40" s="4">
        <v>60</v>
      </c>
      <c r="U40" s="1">
        <v>3</v>
      </c>
      <c r="V40" s="5">
        <v>1.7</v>
      </c>
      <c r="W40" s="4">
        <v>100</v>
      </c>
      <c r="X40" s="5">
        <v>2</v>
      </c>
      <c r="Y40" s="4">
        <v>2000</v>
      </c>
      <c r="Z40" s="5">
        <v>120</v>
      </c>
    </row>
    <row r="41" spans="1:26" x14ac:dyDescent="0.25">
      <c r="A41" s="2" t="s">
        <v>211</v>
      </c>
      <c r="B41" s="6" t="s">
        <v>178</v>
      </c>
      <c r="C41" s="6" t="s">
        <v>191</v>
      </c>
      <c r="D41" s="6" t="s">
        <v>182</v>
      </c>
      <c r="E41" s="4">
        <v>324000</v>
      </c>
      <c r="F41" s="5">
        <v>0</v>
      </c>
      <c r="G41" s="5">
        <v>0</v>
      </c>
      <c r="H41" s="4">
        <v>150</v>
      </c>
      <c r="I41" s="5">
        <v>0</v>
      </c>
      <c r="J41" s="5">
        <v>0</v>
      </c>
      <c r="K41" s="4">
        <v>0</v>
      </c>
      <c r="L41" s="5">
        <v>0</v>
      </c>
      <c r="M41" s="5">
        <v>0</v>
      </c>
      <c r="N41" s="4">
        <v>1500</v>
      </c>
      <c r="O41" s="5">
        <v>0</v>
      </c>
      <c r="P41" s="5">
        <v>0</v>
      </c>
      <c r="Q41" s="4">
        <v>4000</v>
      </c>
      <c r="R41" s="5">
        <v>0</v>
      </c>
      <c r="S41" s="5">
        <v>0</v>
      </c>
      <c r="T41" s="4">
        <v>180</v>
      </c>
      <c r="U41" s="5">
        <v>0</v>
      </c>
      <c r="V41" s="5">
        <v>0</v>
      </c>
      <c r="W41" s="4">
        <v>100</v>
      </c>
      <c r="X41" s="5">
        <v>0</v>
      </c>
      <c r="Y41" s="4">
        <v>100000</v>
      </c>
      <c r="Z41" s="5">
        <v>0</v>
      </c>
    </row>
    <row r="42" spans="1:26" x14ac:dyDescent="0.25">
      <c r="A42" s="2" t="s">
        <v>211</v>
      </c>
      <c r="B42" s="6" t="s">
        <v>178</v>
      </c>
      <c r="C42" s="18" t="s">
        <v>181</v>
      </c>
      <c r="D42" s="6" t="s">
        <v>184</v>
      </c>
      <c r="E42" s="4">
        <v>356400</v>
      </c>
      <c r="F42" s="5">
        <v>0</v>
      </c>
      <c r="G42" s="5">
        <v>0</v>
      </c>
      <c r="H42" s="4">
        <v>150</v>
      </c>
      <c r="I42" s="5">
        <v>0</v>
      </c>
      <c r="J42" s="5">
        <v>0</v>
      </c>
      <c r="K42" s="4">
        <v>0</v>
      </c>
      <c r="L42" s="5">
        <v>0</v>
      </c>
      <c r="M42" s="5">
        <v>0</v>
      </c>
      <c r="N42" s="4">
        <v>1500</v>
      </c>
      <c r="O42" s="5">
        <v>0</v>
      </c>
      <c r="P42" s="5">
        <v>0</v>
      </c>
      <c r="Q42" s="4">
        <v>4000</v>
      </c>
      <c r="R42" s="5">
        <v>0</v>
      </c>
      <c r="S42" s="5">
        <v>0</v>
      </c>
      <c r="T42" s="4">
        <v>210</v>
      </c>
      <c r="U42" s="5">
        <v>0</v>
      </c>
      <c r="V42" s="5">
        <v>0</v>
      </c>
      <c r="W42" s="4">
        <v>100</v>
      </c>
      <c r="X42" s="5">
        <v>0</v>
      </c>
      <c r="Y42" s="4">
        <v>100000</v>
      </c>
      <c r="Z42" s="5">
        <v>0</v>
      </c>
    </row>
    <row r="43" spans="1:26" x14ac:dyDescent="0.25">
      <c r="A43" s="2" t="s">
        <v>211</v>
      </c>
      <c r="B43" s="6" t="s">
        <v>177</v>
      </c>
      <c r="C43" s="18" t="s">
        <v>180</v>
      </c>
      <c r="D43" s="6" t="s">
        <v>184</v>
      </c>
      <c r="E43" s="4">
        <v>421200</v>
      </c>
      <c r="F43" s="5">
        <v>0</v>
      </c>
      <c r="G43" s="5">
        <v>0</v>
      </c>
      <c r="H43" s="4">
        <v>150</v>
      </c>
      <c r="I43" s="5">
        <v>0</v>
      </c>
      <c r="J43" s="5">
        <v>0</v>
      </c>
      <c r="K43" s="4">
        <v>0</v>
      </c>
      <c r="L43" s="5">
        <v>0</v>
      </c>
      <c r="M43" s="5">
        <v>0</v>
      </c>
      <c r="N43" s="4">
        <v>1500</v>
      </c>
      <c r="O43" s="5">
        <v>0</v>
      </c>
      <c r="P43" s="5">
        <v>0</v>
      </c>
      <c r="Q43" s="4">
        <v>4000</v>
      </c>
      <c r="R43" s="5">
        <v>0</v>
      </c>
      <c r="S43" s="5">
        <v>0</v>
      </c>
      <c r="T43" s="4">
        <v>280</v>
      </c>
      <c r="U43" s="5">
        <v>0</v>
      </c>
      <c r="V43" s="5">
        <v>0</v>
      </c>
      <c r="W43" s="4">
        <v>100</v>
      </c>
      <c r="X43" s="5">
        <v>0</v>
      </c>
      <c r="Y43" s="4">
        <v>100000</v>
      </c>
      <c r="Z43" s="5">
        <v>0</v>
      </c>
    </row>
    <row r="44" spans="1:26" x14ac:dyDescent="0.25">
      <c r="A44" s="2" t="s">
        <v>211</v>
      </c>
      <c r="B44" s="6" t="s">
        <v>176</v>
      </c>
      <c r="C44" s="18" t="s">
        <v>179</v>
      </c>
      <c r="D44" s="6" t="s">
        <v>184</v>
      </c>
      <c r="E44" s="4">
        <v>486000</v>
      </c>
      <c r="F44" s="5">
        <v>0</v>
      </c>
      <c r="G44" s="5">
        <v>0</v>
      </c>
      <c r="H44" s="4">
        <v>150</v>
      </c>
      <c r="I44" s="5">
        <v>0</v>
      </c>
      <c r="J44" s="5">
        <v>0</v>
      </c>
      <c r="K44" s="4">
        <v>0</v>
      </c>
      <c r="L44" s="5">
        <v>0</v>
      </c>
      <c r="M44" s="5">
        <v>0</v>
      </c>
      <c r="N44" s="4">
        <v>1500</v>
      </c>
      <c r="O44" s="5">
        <v>0</v>
      </c>
      <c r="P44" s="5">
        <v>0</v>
      </c>
      <c r="Q44" s="4">
        <v>4000</v>
      </c>
      <c r="R44" s="5">
        <v>0</v>
      </c>
      <c r="S44" s="5">
        <v>0</v>
      </c>
      <c r="T44" s="4">
        <v>700</v>
      </c>
      <c r="U44" s="5">
        <v>0</v>
      </c>
      <c r="V44" s="5">
        <v>0</v>
      </c>
      <c r="W44" s="4">
        <v>100</v>
      </c>
      <c r="X44" s="5">
        <v>0</v>
      </c>
      <c r="Y44" s="4">
        <v>100000</v>
      </c>
      <c r="Z44" s="5">
        <v>0</v>
      </c>
    </row>
    <row r="45" spans="1:26" x14ac:dyDescent="0.25">
      <c r="A45" s="2" t="s">
        <v>211</v>
      </c>
      <c r="B45" s="6" t="s">
        <v>177</v>
      </c>
      <c r="C45" s="6" t="s">
        <v>192</v>
      </c>
      <c r="D45" s="6" t="s">
        <v>182</v>
      </c>
      <c r="E45" s="4">
        <v>648000</v>
      </c>
      <c r="F45" s="5">
        <v>0</v>
      </c>
      <c r="G45" s="5">
        <v>0</v>
      </c>
      <c r="H45" s="4">
        <v>150</v>
      </c>
      <c r="I45" s="5">
        <v>0</v>
      </c>
      <c r="J45" s="5">
        <v>0</v>
      </c>
      <c r="K45" s="4">
        <v>0</v>
      </c>
      <c r="L45" s="5">
        <v>0</v>
      </c>
      <c r="M45" s="5">
        <v>0</v>
      </c>
      <c r="N45" s="4">
        <v>1500</v>
      </c>
      <c r="O45" s="5">
        <v>0</v>
      </c>
      <c r="P45" s="5">
        <v>0</v>
      </c>
      <c r="Q45" s="4">
        <v>4000</v>
      </c>
      <c r="R45" s="5">
        <v>0</v>
      </c>
      <c r="S45" s="5">
        <v>0</v>
      </c>
      <c r="T45" s="4">
        <v>320</v>
      </c>
      <c r="U45" s="5">
        <v>0</v>
      </c>
      <c r="V45" s="5">
        <v>0</v>
      </c>
      <c r="W45" s="4">
        <v>100</v>
      </c>
      <c r="X45" s="5">
        <v>0</v>
      </c>
      <c r="Y45" s="4">
        <v>100000</v>
      </c>
      <c r="Z45" s="5">
        <v>0</v>
      </c>
    </row>
    <row r="46" spans="1:26" x14ac:dyDescent="0.25">
      <c r="A46" s="2" t="s">
        <v>211</v>
      </c>
      <c r="B46" s="6" t="s">
        <v>176</v>
      </c>
      <c r="C46" s="6" t="s">
        <v>193</v>
      </c>
      <c r="D46" s="6" t="s">
        <v>182</v>
      </c>
      <c r="E46" s="4">
        <v>972000</v>
      </c>
      <c r="F46" s="5">
        <v>0</v>
      </c>
      <c r="G46" s="5">
        <v>0</v>
      </c>
      <c r="H46" s="4">
        <v>150</v>
      </c>
      <c r="I46" s="5">
        <v>0</v>
      </c>
      <c r="J46" s="5">
        <v>0</v>
      </c>
      <c r="K46" s="4">
        <v>0</v>
      </c>
      <c r="L46" s="5">
        <v>0</v>
      </c>
      <c r="M46" s="5">
        <v>0</v>
      </c>
      <c r="N46" s="4">
        <v>1500</v>
      </c>
      <c r="O46" s="5">
        <v>0</v>
      </c>
      <c r="P46" s="5">
        <v>0</v>
      </c>
      <c r="Q46" s="4">
        <v>4000</v>
      </c>
      <c r="R46" s="5">
        <v>0</v>
      </c>
      <c r="S46" s="5">
        <v>0</v>
      </c>
      <c r="T46" s="4">
        <v>540</v>
      </c>
      <c r="U46" s="5">
        <v>0</v>
      </c>
      <c r="V46" s="5">
        <v>0</v>
      </c>
      <c r="W46" s="4">
        <v>100</v>
      </c>
      <c r="X46" s="5">
        <v>0</v>
      </c>
      <c r="Y46" s="4">
        <v>100000</v>
      </c>
      <c r="Z46" s="5">
        <v>0</v>
      </c>
    </row>
    <row r="47" spans="1:26" x14ac:dyDescent="0.25">
      <c r="A47" s="2" t="s">
        <v>31</v>
      </c>
      <c r="B47" s="6" t="s">
        <v>230</v>
      </c>
      <c r="D47" s="6" t="str">
        <f>VLOOKUP(TRIM(A47),wikily_maps!A:O,15,FALSE)</f>
        <v>Aberration, Astraeos, Fjordur, Genesis 2, Genesis, Valguero</v>
      </c>
      <c r="E47" s="4">
        <v>145</v>
      </c>
      <c r="F47" s="1">
        <v>29</v>
      </c>
      <c r="G47" s="5">
        <v>5.4</v>
      </c>
      <c r="H47" s="4">
        <v>200</v>
      </c>
      <c r="I47" s="1">
        <v>24</v>
      </c>
      <c r="J47" s="5">
        <v>12</v>
      </c>
      <c r="K47" s="4">
        <v>165</v>
      </c>
      <c r="L47" s="1">
        <v>18.149999999999999</v>
      </c>
      <c r="M47" s="5">
        <v>11</v>
      </c>
      <c r="N47" s="4">
        <v>450</v>
      </c>
      <c r="O47" s="1">
        <v>45</v>
      </c>
      <c r="P47" s="5">
        <v>10</v>
      </c>
      <c r="Q47" s="4">
        <v>120</v>
      </c>
      <c r="R47" s="1">
        <v>2.4</v>
      </c>
      <c r="S47" s="5">
        <v>4</v>
      </c>
      <c r="T47" s="4">
        <v>12</v>
      </c>
      <c r="U47" s="1">
        <v>0.6</v>
      </c>
      <c r="V47" s="5">
        <v>1.7</v>
      </c>
      <c r="W47" s="4">
        <v>100</v>
      </c>
      <c r="X47" s="5">
        <v>1</v>
      </c>
      <c r="Y47" s="4">
        <v>60</v>
      </c>
      <c r="Z47" s="5">
        <v>3.6</v>
      </c>
    </row>
    <row r="48" spans="1:26" x14ac:dyDescent="0.25">
      <c r="A48" s="2" t="s">
        <v>32</v>
      </c>
      <c r="B48" s="6" t="s">
        <v>230</v>
      </c>
      <c r="D48" s="6" t="str">
        <f>VLOOKUP(TRIM(A48),wikily_maps!A:O,15,FALSE)</f>
        <v>Astraeos, Crystal Isles, Extinction, Fjordur, Genesis 2, Genesis, Lost Island, Ragnarok, The Center, The Island, Valguero</v>
      </c>
      <c r="E48" s="4">
        <v>700</v>
      </c>
      <c r="F48" s="1">
        <v>140</v>
      </c>
      <c r="G48" s="5">
        <v>5.4</v>
      </c>
      <c r="H48" s="4">
        <v>200</v>
      </c>
      <c r="I48" s="1">
        <v>20</v>
      </c>
      <c r="J48" s="5">
        <v>10</v>
      </c>
      <c r="K48" s="4">
        <v>150</v>
      </c>
      <c r="L48" s="1">
        <v>15</v>
      </c>
      <c r="M48" s="5">
        <v>0</v>
      </c>
      <c r="N48" s="4">
        <v>3000</v>
      </c>
      <c r="O48" s="1">
        <v>300</v>
      </c>
      <c r="P48" s="5">
        <v>10</v>
      </c>
      <c r="Q48" s="4">
        <v>270</v>
      </c>
      <c r="R48" s="1">
        <v>5.4</v>
      </c>
      <c r="S48" s="5">
        <v>4</v>
      </c>
      <c r="T48" s="4">
        <v>13</v>
      </c>
      <c r="U48" s="1">
        <v>0.65</v>
      </c>
      <c r="V48" s="5">
        <v>1.7</v>
      </c>
      <c r="W48" s="4">
        <v>100</v>
      </c>
      <c r="X48" s="5">
        <v>1</v>
      </c>
      <c r="Y48" s="4">
        <v>275</v>
      </c>
      <c r="Z48" s="5">
        <v>16.5</v>
      </c>
    </row>
    <row r="49" spans="1:26" x14ac:dyDescent="0.25">
      <c r="A49" s="2" t="s">
        <v>33</v>
      </c>
      <c r="B49" s="6" t="s">
        <v>230</v>
      </c>
      <c r="D49" s="6" t="str">
        <f>VLOOKUP(TRIM(A49),wikily_maps!A:O,15,FALSE)</f>
        <v>Astraeos, Extinction, Ragnarok, Scorched Earth, The Center, The Island, Valguero</v>
      </c>
      <c r="E49" s="4">
        <v>70000</v>
      </c>
      <c r="F49" s="1">
        <v>56</v>
      </c>
      <c r="G49" s="5">
        <v>0.08</v>
      </c>
      <c r="H49" s="4">
        <v>480</v>
      </c>
      <c r="I49" s="1">
        <v>2.88</v>
      </c>
      <c r="J49" s="5">
        <v>2.5</v>
      </c>
      <c r="K49" s="4">
        <v>150</v>
      </c>
      <c r="L49" s="1">
        <v>0.375</v>
      </c>
      <c r="M49" s="5">
        <v>2.5</v>
      </c>
      <c r="N49" s="4">
        <v>4000</v>
      </c>
      <c r="O49" s="1">
        <v>10</v>
      </c>
      <c r="P49" s="5">
        <v>2.5</v>
      </c>
      <c r="Q49" s="4">
        <v>650</v>
      </c>
      <c r="R49" s="1">
        <v>13</v>
      </c>
      <c r="S49" s="5">
        <v>1</v>
      </c>
      <c r="T49" s="4">
        <v>211</v>
      </c>
      <c r="U49" s="1">
        <v>10.55</v>
      </c>
      <c r="V49" s="5">
        <v>0.85</v>
      </c>
      <c r="W49" s="4">
        <v>100</v>
      </c>
      <c r="X49" s="5">
        <v>0.31</v>
      </c>
      <c r="Y49" s="4">
        <v>6000</v>
      </c>
      <c r="Z49" s="5">
        <v>360</v>
      </c>
    </row>
    <row r="50" spans="1:26" x14ac:dyDescent="0.25">
      <c r="A50" s="2" t="s">
        <v>34</v>
      </c>
      <c r="B50" s="6" t="s">
        <v>230</v>
      </c>
      <c r="D50" s="6" t="str">
        <f>VLOOKUP(TRIM(A50),wikily_maps!A:O,15,FALSE)</f>
        <v>Astraeos, Crystal Isles, Extinction, Fjordur, Genesis 2, Genesis, Lost Island, Ragnarok, Scorched Earth, The Center, The Island, Valguero</v>
      </c>
      <c r="E50" s="4">
        <v>420</v>
      </c>
      <c r="F50" s="1">
        <v>84</v>
      </c>
      <c r="G50" s="5">
        <v>5.4</v>
      </c>
      <c r="H50" s="4">
        <v>300</v>
      </c>
      <c r="I50" s="1">
        <v>30</v>
      </c>
      <c r="J50" s="5">
        <v>10</v>
      </c>
      <c r="K50" s="4">
        <v>150</v>
      </c>
      <c r="L50" s="1">
        <v>15</v>
      </c>
      <c r="M50" s="5">
        <v>10</v>
      </c>
      <c r="N50" s="4">
        <v>2000</v>
      </c>
      <c r="O50" s="1">
        <v>200</v>
      </c>
      <c r="P50" s="5">
        <v>10</v>
      </c>
      <c r="Q50" s="4">
        <v>300</v>
      </c>
      <c r="R50" s="1">
        <v>6</v>
      </c>
      <c r="S50" s="5">
        <v>4</v>
      </c>
      <c r="T50" s="4">
        <v>35</v>
      </c>
      <c r="U50" s="1">
        <v>1.75</v>
      </c>
      <c r="V50" s="5">
        <v>1.7</v>
      </c>
      <c r="W50" s="4">
        <v>100</v>
      </c>
      <c r="X50" s="5">
        <v>1.25</v>
      </c>
      <c r="Y50" s="4">
        <v>350</v>
      </c>
      <c r="Z50" s="5">
        <v>21</v>
      </c>
    </row>
    <row r="51" spans="1:26" x14ac:dyDescent="0.25">
      <c r="A51" s="2" t="s">
        <v>35</v>
      </c>
      <c r="B51" s="6" t="s">
        <v>230</v>
      </c>
      <c r="D51" s="6" t="str">
        <f>VLOOKUP(TRIM(A51),wikily_maps!A:O,15,FALSE)</f>
        <v>Astraeos, Crystal Isles, Extinction, Fjordur, Genesis 2, Genesis, Lost Island, Ragnarok, The Center, The Island, Valguero</v>
      </c>
      <c r="E51" s="4">
        <v>450</v>
      </c>
      <c r="F51" s="1">
        <v>90</v>
      </c>
      <c r="G51" s="5">
        <v>5.4</v>
      </c>
      <c r="H51" s="4">
        <v>180</v>
      </c>
      <c r="I51" s="1">
        <v>18</v>
      </c>
      <c r="J51" s="5">
        <v>10</v>
      </c>
      <c r="K51" s="4">
        <v>750</v>
      </c>
      <c r="L51" s="1">
        <v>75</v>
      </c>
      <c r="M51" s="5">
        <v>10</v>
      </c>
      <c r="N51" s="4">
        <v>2000</v>
      </c>
      <c r="O51" s="1">
        <v>200</v>
      </c>
      <c r="P51" s="5">
        <v>10</v>
      </c>
      <c r="Q51" s="4">
        <v>300</v>
      </c>
      <c r="R51" s="1">
        <v>6</v>
      </c>
      <c r="S51" s="5">
        <v>4</v>
      </c>
      <c r="T51" s="4">
        <v>28</v>
      </c>
      <c r="U51" s="1">
        <v>1.1200000000000001</v>
      </c>
      <c r="V51" s="5">
        <v>1.7</v>
      </c>
      <c r="W51" s="4">
        <v>100</v>
      </c>
      <c r="X51" s="5">
        <v>1</v>
      </c>
      <c r="Y51" s="4">
        <v>350</v>
      </c>
      <c r="Z51" s="5">
        <v>21</v>
      </c>
    </row>
    <row r="52" spans="1:26" x14ac:dyDescent="0.25">
      <c r="A52" s="2" t="s">
        <v>36</v>
      </c>
      <c r="B52" s="6" t="s">
        <v>230</v>
      </c>
      <c r="D52" s="6" t="str">
        <f>VLOOKUP(TRIM(A52),wikily_maps!A:O,15,FALSE)</f>
        <v>Astraeos, Ragnarok, Valguero</v>
      </c>
      <c r="E52" s="4">
        <v>125</v>
      </c>
      <c r="F52" s="1">
        <v>25</v>
      </c>
      <c r="G52" s="5">
        <v>5.4</v>
      </c>
      <c r="H52" s="4">
        <v>100</v>
      </c>
      <c r="I52" s="1">
        <v>10</v>
      </c>
      <c r="J52" s="5">
        <v>10</v>
      </c>
      <c r="K52" s="4">
        <v>150</v>
      </c>
      <c r="L52" s="1">
        <v>15</v>
      </c>
      <c r="M52" s="5">
        <v>10</v>
      </c>
      <c r="N52" s="4">
        <v>450</v>
      </c>
      <c r="O52" s="1">
        <v>45</v>
      </c>
      <c r="P52" s="5">
        <v>10</v>
      </c>
      <c r="Q52" s="4">
        <v>60</v>
      </c>
      <c r="R52" s="1">
        <v>1.2</v>
      </c>
      <c r="S52" s="5">
        <v>4</v>
      </c>
      <c r="T52" s="4">
        <v>10</v>
      </c>
      <c r="U52" s="1">
        <v>0.5</v>
      </c>
      <c r="V52" s="5">
        <v>1.7</v>
      </c>
      <c r="W52" s="4">
        <v>100</v>
      </c>
      <c r="X52" s="5">
        <v>0</v>
      </c>
      <c r="Y52" s="4">
        <v>100</v>
      </c>
      <c r="Z52" s="5">
        <v>6</v>
      </c>
    </row>
    <row r="53" spans="1:26" x14ac:dyDescent="0.25">
      <c r="A53" s="2" t="s">
        <v>37</v>
      </c>
      <c r="B53" s="6" t="s">
        <v>230</v>
      </c>
      <c r="D53" s="6" t="str">
        <f>VLOOKUP(TRIM(A53),wikily_maps!A:O,15,FALSE)</f>
        <v>Astraeos, Extinction, Ragnarok, Scorched Earth, The Center, The Island, Valguero</v>
      </c>
      <c r="E53" s="4">
        <v>550</v>
      </c>
      <c r="F53" s="1">
        <v>110</v>
      </c>
      <c r="G53" s="5">
        <v>5.4</v>
      </c>
      <c r="H53" s="4">
        <v>400</v>
      </c>
      <c r="I53" s="1">
        <v>40</v>
      </c>
      <c r="J53" s="5">
        <v>10</v>
      </c>
      <c r="K53" s="4">
        <v>150</v>
      </c>
      <c r="L53" s="1">
        <v>15</v>
      </c>
      <c r="M53" s="5">
        <v>10</v>
      </c>
      <c r="N53" s="4">
        <v>3000</v>
      </c>
      <c r="O53" s="1">
        <v>300</v>
      </c>
      <c r="P53" s="5">
        <v>10</v>
      </c>
      <c r="Q53" s="4">
        <v>350</v>
      </c>
      <c r="R53" s="1">
        <v>7</v>
      </c>
      <c r="S53" s="5">
        <v>4</v>
      </c>
      <c r="T53" s="4">
        <v>25</v>
      </c>
      <c r="U53" s="1">
        <v>1.25</v>
      </c>
      <c r="V53" s="5">
        <v>1.7</v>
      </c>
      <c r="W53" s="4">
        <v>100</v>
      </c>
      <c r="X53" s="5">
        <v>1</v>
      </c>
      <c r="Y53" s="4">
        <v>500</v>
      </c>
      <c r="Z53" s="5">
        <v>30</v>
      </c>
    </row>
    <row r="54" spans="1:26" x14ac:dyDescent="0.25">
      <c r="A54" s="2" t="s">
        <v>38</v>
      </c>
      <c r="B54" s="6" t="s">
        <v>230</v>
      </c>
      <c r="D54" s="6" t="str">
        <f>VLOOKUP(TRIM(A54),wikily_maps!A:O,15,FALSE)</f>
        <v>Astraeos, Crystal Isles, Extinction, Fjordur, Genesis 2, Genesis, Lost Island, Ragnarok, The Center, The Island, Valguero</v>
      </c>
      <c r="E54" s="4">
        <v>600</v>
      </c>
      <c r="F54" s="1">
        <v>120</v>
      </c>
      <c r="G54" s="5">
        <v>5.4</v>
      </c>
      <c r="H54" s="4">
        <v>300</v>
      </c>
      <c r="I54" s="1">
        <v>30</v>
      </c>
      <c r="J54" s="5">
        <v>10</v>
      </c>
      <c r="K54" s="4">
        <v>150</v>
      </c>
      <c r="L54" s="1">
        <v>15</v>
      </c>
      <c r="M54" s="5">
        <v>10</v>
      </c>
      <c r="N54" s="4">
        <v>4000</v>
      </c>
      <c r="O54" s="1">
        <v>400</v>
      </c>
      <c r="P54" s="5">
        <v>10</v>
      </c>
      <c r="Q54" s="4">
        <v>400</v>
      </c>
      <c r="R54" s="1">
        <v>8</v>
      </c>
      <c r="S54" s="5">
        <v>4</v>
      </c>
      <c r="T54" s="4">
        <v>36</v>
      </c>
      <c r="U54" s="1">
        <v>1.8</v>
      </c>
      <c r="V54" s="5">
        <v>1.7</v>
      </c>
      <c r="W54" s="4">
        <v>100</v>
      </c>
      <c r="X54" s="5">
        <v>1</v>
      </c>
      <c r="Y54" s="4">
        <v>500</v>
      </c>
      <c r="Z54" s="5">
        <v>30</v>
      </c>
    </row>
    <row r="55" spans="1:26" x14ac:dyDescent="0.25">
      <c r="A55" s="2" t="s">
        <v>39</v>
      </c>
      <c r="B55" s="6" t="s">
        <v>230</v>
      </c>
      <c r="D55" s="6" t="str">
        <f>VLOOKUP(TRIM(A55),wikily_maps!A:O,15,FALSE)</f>
        <v>Astraeos, Crystal Isles, Fjordur, Genesis 2, Genesis, Lost Island, Ragnarok, The Center, The Island, Valguero</v>
      </c>
      <c r="E55" s="4">
        <v>180</v>
      </c>
      <c r="F55" s="1">
        <v>36</v>
      </c>
      <c r="G55" s="5">
        <v>5.4</v>
      </c>
      <c r="H55" s="4">
        <v>120</v>
      </c>
      <c r="I55" s="1">
        <v>12</v>
      </c>
      <c r="J55" s="5">
        <v>10</v>
      </c>
      <c r="K55" s="4">
        <v>0</v>
      </c>
      <c r="L55" s="1">
        <v>0</v>
      </c>
      <c r="M55" s="5">
        <v>0</v>
      </c>
      <c r="N55" s="4">
        <v>1200</v>
      </c>
      <c r="O55" s="1">
        <v>120</v>
      </c>
      <c r="P55" s="5">
        <v>10</v>
      </c>
      <c r="Q55" s="4">
        <v>25</v>
      </c>
      <c r="R55" s="1">
        <v>0.5</v>
      </c>
      <c r="S55" s="5">
        <v>4</v>
      </c>
      <c r="T55" s="4">
        <v>30</v>
      </c>
      <c r="U55" s="1">
        <v>1.5</v>
      </c>
      <c r="V55" s="5">
        <v>1.7</v>
      </c>
      <c r="W55" s="4">
        <v>100</v>
      </c>
      <c r="X55" s="5">
        <v>0</v>
      </c>
      <c r="Y55" s="4">
        <v>250</v>
      </c>
      <c r="Z55" s="5">
        <v>15</v>
      </c>
    </row>
    <row r="56" spans="1:26" x14ac:dyDescent="0.25">
      <c r="A56" s="2" t="s">
        <v>40</v>
      </c>
      <c r="B56" s="6" t="s">
        <v>230</v>
      </c>
      <c r="D56" s="6" t="str">
        <f>VLOOKUP(TRIM(A56),wikily_maps!A:O,15,FALSE)</f>
        <v>Astraeos, Crystal Isles, Extinction, Fjordur, Genesis 2, Genesis, Lost Island, Ragnarok, Scorched Earth, The Center, The Island, Valguero</v>
      </c>
      <c r="E56" s="4">
        <v>30</v>
      </c>
      <c r="F56" s="1">
        <v>6</v>
      </c>
      <c r="G56" s="5">
        <v>5</v>
      </c>
      <c r="H56" s="4">
        <v>100</v>
      </c>
      <c r="I56" s="1">
        <v>10</v>
      </c>
      <c r="J56" s="5">
        <v>10</v>
      </c>
      <c r="K56" s="4">
        <v>0</v>
      </c>
      <c r="L56" s="1">
        <v>0</v>
      </c>
      <c r="M56" s="5">
        <v>0</v>
      </c>
      <c r="N56" s="4">
        <v>100</v>
      </c>
      <c r="O56" s="1">
        <v>10</v>
      </c>
      <c r="P56" s="5">
        <v>0</v>
      </c>
      <c r="Q56" s="4">
        <v>8</v>
      </c>
      <c r="R56" s="1">
        <v>0.16</v>
      </c>
      <c r="S56" s="5">
        <v>0</v>
      </c>
      <c r="T56" s="4">
        <v>5</v>
      </c>
      <c r="U56" s="1">
        <v>0.25</v>
      </c>
      <c r="V56" s="5">
        <v>1.5</v>
      </c>
      <c r="W56" s="4">
        <v>100</v>
      </c>
      <c r="X56" s="5">
        <v>0</v>
      </c>
      <c r="Y56" s="4">
        <v>15</v>
      </c>
      <c r="Z56" s="5">
        <v>0.9</v>
      </c>
    </row>
    <row r="57" spans="1:26" x14ac:dyDescent="0.25">
      <c r="A57" s="2" t="s">
        <v>41</v>
      </c>
      <c r="B57" s="6" t="s">
        <v>230</v>
      </c>
      <c r="D57" s="6" t="str">
        <f>VLOOKUP(TRIM(A57),wikily_maps!A:O,15,FALSE)</f>
        <v>Astraeos, Crystal Isles, Extinction, Fjordur, Genesis 2, Lost Island, Ragnarok, The Center, The Island, Valguero</v>
      </c>
      <c r="E57" s="4">
        <v>50</v>
      </c>
      <c r="F57" s="1">
        <v>10</v>
      </c>
      <c r="G57" s="5">
        <v>6.4</v>
      </c>
      <c r="H57" s="4">
        <v>100</v>
      </c>
      <c r="I57" s="1">
        <v>10</v>
      </c>
      <c r="J57" s="5">
        <v>10</v>
      </c>
      <c r="K57" s="4">
        <v>150</v>
      </c>
      <c r="L57" s="1">
        <v>15</v>
      </c>
      <c r="M57" s="5">
        <v>10</v>
      </c>
      <c r="N57" s="4">
        <v>450</v>
      </c>
      <c r="O57" s="1">
        <v>45</v>
      </c>
      <c r="P57" s="5">
        <v>10</v>
      </c>
      <c r="Q57" s="4">
        <v>25</v>
      </c>
      <c r="R57" s="1">
        <v>0.5</v>
      </c>
      <c r="S57" s="5">
        <v>4</v>
      </c>
      <c r="T57" s="4">
        <v>4</v>
      </c>
      <c r="U57" s="1">
        <v>0.2</v>
      </c>
      <c r="V57" s="5">
        <v>1.7</v>
      </c>
      <c r="W57" s="4">
        <v>100</v>
      </c>
      <c r="X57" s="5">
        <v>1</v>
      </c>
      <c r="Y57" s="4">
        <v>25</v>
      </c>
      <c r="Z57" s="5">
        <v>1.5</v>
      </c>
    </row>
    <row r="58" spans="1:26" x14ac:dyDescent="0.25">
      <c r="A58" s="2" t="s">
        <v>212</v>
      </c>
      <c r="B58" s="6" t="s">
        <v>178</v>
      </c>
      <c r="C58" s="6" t="s">
        <v>730</v>
      </c>
      <c r="D58" s="6" t="s">
        <v>731</v>
      </c>
      <c r="E58" s="4">
        <v>25000</v>
      </c>
      <c r="F58" s="5">
        <v>0</v>
      </c>
      <c r="G58" s="5">
        <v>0</v>
      </c>
      <c r="H58" s="4">
        <v>100</v>
      </c>
      <c r="I58" s="5">
        <v>0</v>
      </c>
      <c r="J58" s="5">
        <v>0</v>
      </c>
      <c r="K58" s="4">
        <v>150</v>
      </c>
      <c r="L58" s="5">
        <v>0</v>
      </c>
      <c r="M58" s="5">
        <v>0</v>
      </c>
      <c r="N58" s="4">
        <v>100</v>
      </c>
      <c r="O58" s="5">
        <v>0</v>
      </c>
      <c r="P58" s="5">
        <v>0</v>
      </c>
      <c r="Q58" s="4">
        <v>100</v>
      </c>
      <c r="R58" s="5">
        <v>0</v>
      </c>
      <c r="S58" s="5">
        <v>0</v>
      </c>
      <c r="T58" s="4">
        <v>1500</v>
      </c>
      <c r="U58" s="5">
        <v>0</v>
      </c>
      <c r="V58" s="5">
        <v>0</v>
      </c>
      <c r="W58" s="4">
        <v>100</v>
      </c>
      <c r="X58" s="5">
        <v>0</v>
      </c>
      <c r="Y58" s="4">
        <v>100</v>
      </c>
      <c r="Z58" s="5">
        <v>0</v>
      </c>
    </row>
    <row r="59" spans="1:26" x14ac:dyDescent="0.25">
      <c r="A59" s="2" t="s">
        <v>212</v>
      </c>
      <c r="B59" s="6" t="s">
        <v>177</v>
      </c>
      <c r="C59" s="6" t="s">
        <v>732</v>
      </c>
      <c r="D59" s="6" t="s">
        <v>731</v>
      </c>
      <c r="E59" s="4">
        <v>60000</v>
      </c>
      <c r="F59" s="5">
        <v>0</v>
      </c>
      <c r="G59" s="5">
        <v>0</v>
      </c>
      <c r="H59" s="4">
        <v>100</v>
      </c>
      <c r="I59" s="5">
        <v>0</v>
      </c>
      <c r="J59" s="5">
        <v>0</v>
      </c>
      <c r="K59" s="4">
        <v>150</v>
      </c>
      <c r="L59" s="5">
        <v>0</v>
      </c>
      <c r="M59" s="5">
        <v>0</v>
      </c>
      <c r="N59" s="4">
        <v>100</v>
      </c>
      <c r="O59" s="5">
        <v>0</v>
      </c>
      <c r="P59" s="5">
        <v>0</v>
      </c>
      <c r="Q59" s="4">
        <v>100</v>
      </c>
      <c r="R59" s="5">
        <v>0</v>
      </c>
      <c r="S59" s="5">
        <v>0</v>
      </c>
      <c r="T59" s="4">
        <v>2000</v>
      </c>
      <c r="U59" s="5">
        <v>0</v>
      </c>
      <c r="V59" s="5">
        <v>0</v>
      </c>
      <c r="W59" s="4">
        <v>100</v>
      </c>
      <c r="X59" s="5">
        <v>0</v>
      </c>
      <c r="Y59" s="4">
        <v>100</v>
      </c>
      <c r="Z59" s="5">
        <v>0</v>
      </c>
    </row>
    <row r="60" spans="1:26" x14ac:dyDescent="0.25">
      <c r="A60" s="2" t="s">
        <v>212</v>
      </c>
      <c r="B60" s="6" t="s">
        <v>176</v>
      </c>
      <c r="C60" s="6" t="s">
        <v>733</v>
      </c>
      <c r="D60" s="6" t="s">
        <v>731</v>
      </c>
      <c r="E60" s="4">
        <v>150000</v>
      </c>
      <c r="F60" s="5">
        <v>0</v>
      </c>
      <c r="G60" s="5">
        <v>0</v>
      </c>
      <c r="H60" s="4">
        <v>100</v>
      </c>
      <c r="I60" s="5">
        <v>0</v>
      </c>
      <c r="J60" s="5">
        <v>0</v>
      </c>
      <c r="K60" s="4">
        <v>150</v>
      </c>
      <c r="L60" s="5">
        <v>0</v>
      </c>
      <c r="M60" s="5">
        <v>0</v>
      </c>
      <c r="N60" s="4">
        <v>100</v>
      </c>
      <c r="O60" s="5">
        <v>0</v>
      </c>
      <c r="P60" s="5">
        <v>0</v>
      </c>
      <c r="Q60" s="4">
        <v>100</v>
      </c>
      <c r="R60" s="5">
        <v>0</v>
      </c>
      <c r="S60" s="5">
        <v>0</v>
      </c>
      <c r="T60" s="4">
        <v>2500</v>
      </c>
      <c r="U60" s="5">
        <v>0</v>
      </c>
      <c r="V60" s="5">
        <v>0</v>
      </c>
      <c r="W60" s="4">
        <v>100</v>
      </c>
      <c r="X60" s="5">
        <v>0</v>
      </c>
      <c r="Y60" s="4">
        <v>100</v>
      </c>
      <c r="Z60" s="5">
        <v>0</v>
      </c>
    </row>
    <row r="61" spans="1:26" x14ac:dyDescent="0.25">
      <c r="A61" s="2" t="s">
        <v>42</v>
      </c>
      <c r="B61" s="6" t="s">
        <v>230</v>
      </c>
      <c r="D61" s="6" t="str">
        <f>VLOOKUP(TRIM(A61),wikily_maps!A:O,15,FALSE)</f>
        <v>Aberration, Astraeos, Valguero</v>
      </c>
      <c r="E61" s="4">
        <v>115</v>
      </c>
      <c r="F61" s="1">
        <v>23</v>
      </c>
      <c r="G61" s="5">
        <v>5.4</v>
      </c>
      <c r="H61" s="4">
        <v>100</v>
      </c>
      <c r="I61" s="1">
        <v>10</v>
      </c>
      <c r="J61" s="5">
        <v>12.5</v>
      </c>
      <c r="K61" s="4">
        <v>200</v>
      </c>
      <c r="L61" s="1">
        <v>20</v>
      </c>
      <c r="M61" s="5">
        <v>11.5</v>
      </c>
      <c r="N61" s="4">
        <v>450</v>
      </c>
      <c r="O61" s="1">
        <v>45</v>
      </c>
      <c r="P61" s="5">
        <v>10</v>
      </c>
      <c r="Q61" s="4">
        <v>70</v>
      </c>
      <c r="R61" s="1">
        <v>1.4</v>
      </c>
      <c r="S61" s="5">
        <v>4</v>
      </c>
      <c r="T61" s="4">
        <v>5</v>
      </c>
      <c r="U61" s="1">
        <v>0.25</v>
      </c>
      <c r="V61" s="5">
        <v>1.89</v>
      </c>
      <c r="W61" s="4">
        <v>100</v>
      </c>
      <c r="X61" s="5">
        <v>1</v>
      </c>
      <c r="Y61" s="4">
        <v>60</v>
      </c>
      <c r="Z61" s="5">
        <v>3.6</v>
      </c>
    </row>
    <row r="62" spans="1:26" x14ac:dyDescent="0.25">
      <c r="A62" s="2" t="s">
        <v>43</v>
      </c>
      <c r="B62" s="6" t="s">
        <v>696</v>
      </c>
      <c r="D62" s="6" t="s">
        <v>195</v>
      </c>
      <c r="E62" s="4">
        <v>1295</v>
      </c>
      <c r="F62" s="1">
        <v>194.25</v>
      </c>
      <c r="G62" s="5">
        <v>3.24</v>
      </c>
      <c r="H62" s="4">
        <v>325</v>
      </c>
      <c r="I62" s="1">
        <v>16.25</v>
      </c>
      <c r="J62" s="5">
        <v>5</v>
      </c>
      <c r="K62" s="4">
        <v>150</v>
      </c>
      <c r="L62" s="1">
        <v>15</v>
      </c>
      <c r="M62" s="5">
        <v>10</v>
      </c>
      <c r="N62" s="4">
        <v>1500</v>
      </c>
      <c r="O62" s="1">
        <v>150</v>
      </c>
      <c r="P62" s="5">
        <v>10</v>
      </c>
      <c r="Q62" s="4">
        <v>300</v>
      </c>
      <c r="R62" s="1">
        <v>6</v>
      </c>
      <c r="S62" s="5">
        <v>4</v>
      </c>
      <c r="T62" s="4">
        <v>45</v>
      </c>
      <c r="U62" s="1">
        <v>2.25</v>
      </c>
      <c r="V62" s="5">
        <v>1.7</v>
      </c>
      <c r="W62" s="4">
        <v>100</v>
      </c>
      <c r="X62" s="5">
        <v>0</v>
      </c>
      <c r="Y62" s="4">
        <v>545</v>
      </c>
      <c r="Z62" s="5">
        <v>32.700000000000003</v>
      </c>
    </row>
    <row r="63" spans="1:26" x14ac:dyDescent="0.25">
      <c r="A63" s="2" t="s">
        <v>43</v>
      </c>
      <c r="B63" s="6" t="s">
        <v>697</v>
      </c>
      <c r="D63" s="6" t="s">
        <v>195</v>
      </c>
      <c r="E63" s="4">
        <v>1295</v>
      </c>
      <c r="F63" s="1">
        <v>194.25</v>
      </c>
      <c r="G63" s="5">
        <v>3.24</v>
      </c>
      <c r="H63" s="4">
        <v>325</v>
      </c>
      <c r="I63" s="1">
        <v>16.25</v>
      </c>
      <c r="J63" s="5">
        <v>5</v>
      </c>
      <c r="K63" s="4">
        <v>150</v>
      </c>
      <c r="L63" s="1">
        <v>15</v>
      </c>
      <c r="M63" s="5">
        <v>10</v>
      </c>
      <c r="N63" s="4">
        <v>1500</v>
      </c>
      <c r="O63" s="1">
        <v>150</v>
      </c>
      <c r="P63" s="5">
        <v>10</v>
      </c>
      <c r="Q63" s="4">
        <v>300</v>
      </c>
      <c r="R63" s="1">
        <v>6</v>
      </c>
      <c r="S63" s="5">
        <v>4</v>
      </c>
      <c r="T63" s="4">
        <v>45</v>
      </c>
      <c r="U63" s="1">
        <v>2.25</v>
      </c>
      <c r="V63" s="5">
        <v>1.7</v>
      </c>
      <c r="W63" s="4">
        <v>100</v>
      </c>
      <c r="X63" s="5">
        <v>0</v>
      </c>
      <c r="Y63" s="4">
        <v>545</v>
      </c>
      <c r="Z63" s="5">
        <v>32.700000000000003</v>
      </c>
    </row>
    <row r="64" spans="1:26" x14ac:dyDescent="0.25">
      <c r="A64" s="2" t="s">
        <v>43</v>
      </c>
      <c r="B64" s="6" t="s">
        <v>698</v>
      </c>
      <c r="D64" s="6" t="s">
        <v>195</v>
      </c>
      <c r="E64" s="4">
        <v>1295</v>
      </c>
      <c r="F64" s="1">
        <v>194.25</v>
      </c>
      <c r="G64" s="5">
        <v>3.24</v>
      </c>
      <c r="H64" s="4">
        <v>325</v>
      </c>
      <c r="I64" s="1">
        <v>16.25</v>
      </c>
      <c r="J64" s="5">
        <v>5</v>
      </c>
      <c r="K64" s="4">
        <v>150</v>
      </c>
      <c r="L64" s="1">
        <v>15</v>
      </c>
      <c r="M64" s="5">
        <v>10</v>
      </c>
      <c r="N64" s="4">
        <v>1500</v>
      </c>
      <c r="O64" s="1">
        <v>150</v>
      </c>
      <c r="P64" s="5">
        <v>10</v>
      </c>
      <c r="Q64" s="4">
        <v>300</v>
      </c>
      <c r="R64" s="1">
        <v>6</v>
      </c>
      <c r="S64" s="5">
        <v>4</v>
      </c>
      <c r="T64" s="4">
        <v>45</v>
      </c>
      <c r="U64" s="1">
        <v>2.25</v>
      </c>
      <c r="V64" s="5">
        <v>1.7</v>
      </c>
      <c r="W64" s="4">
        <v>100</v>
      </c>
      <c r="X64" s="5">
        <v>0</v>
      </c>
      <c r="Y64" s="4">
        <v>545</v>
      </c>
      <c r="Z64" s="5">
        <v>32.700000000000003</v>
      </c>
    </row>
    <row r="65" spans="1:26" x14ac:dyDescent="0.25">
      <c r="A65" s="2" t="s">
        <v>213</v>
      </c>
      <c r="B65" s="6" t="s">
        <v>178</v>
      </c>
      <c r="C65" s="6" t="s">
        <v>715</v>
      </c>
      <c r="D65" s="6" t="s">
        <v>195</v>
      </c>
      <c r="E65" s="4">
        <v>400000</v>
      </c>
      <c r="F65" s="5">
        <v>0</v>
      </c>
      <c r="G65" s="5">
        <v>0</v>
      </c>
      <c r="H65" s="4">
        <v>2500</v>
      </c>
      <c r="I65" s="5">
        <v>0</v>
      </c>
      <c r="J65" s="5">
        <v>0</v>
      </c>
      <c r="K65" s="4">
        <v>1000</v>
      </c>
      <c r="L65" s="5">
        <v>0</v>
      </c>
      <c r="M65" s="5">
        <v>0</v>
      </c>
      <c r="N65" s="4">
        <v>5000</v>
      </c>
      <c r="O65" s="5">
        <v>0</v>
      </c>
      <c r="P65" s="5">
        <v>0</v>
      </c>
      <c r="Q65" s="4">
        <v>4000</v>
      </c>
      <c r="R65" s="5">
        <v>0</v>
      </c>
      <c r="S65" s="5">
        <v>0</v>
      </c>
      <c r="T65" s="4">
        <v>160</v>
      </c>
      <c r="U65" s="5">
        <v>0</v>
      </c>
      <c r="V65" s="5">
        <v>0</v>
      </c>
      <c r="W65" s="4">
        <v>100</v>
      </c>
      <c r="X65" s="5">
        <v>0</v>
      </c>
      <c r="Y65" s="4">
        <v>1000</v>
      </c>
      <c r="Z65" s="5">
        <v>0</v>
      </c>
    </row>
    <row r="66" spans="1:26" x14ac:dyDescent="0.25">
      <c r="A66" s="2" t="s">
        <v>213</v>
      </c>
      <c r="B66" s="6" t="s">
        <v>177</v>
      </c>
      <c r="C66" s="6" t="s">
        <v>716</v>
      </c>
      <c r="D66" s="6" t="s">
        <v>195</v>
      </c>
      <c r="E66" s="4">
        <v>675000</v>
      </c>
      <c r="F66" s="5">
        <v>0</v>
      </c>
      <c r="G66" s="5">
        <v>0</v>
      </c>
      <c r="H66" s="4">
        <v>2500</v>
      </c>
      <c r="I66" s="5">
        <v>0</v>
      </c>
      <c r="J66" s="5">
        <v>0</v>
      </c>
      <c r="K66" s="4">
        <v>1000</v>
      </c>
      <c r="L66" s="5">
        <v>0</v>
      </c>
      <c r="M66" s="5">
        <v>0</v>
      </c>
      <c r="N66" s="4">
        <v>5000</v>
      </c>
      <c r="O66" s="5">
        <v>0</v>
      </c>
      <c r="P66" s="5">
        <v>0</v>
      </c>
      <c r="Q66" s="4">
        <v>4000</v>
      </c>
      <c r="R66" s="5">
        <v>0</v>
      </c>
      <c r="S66" s="5">
        <v>0</v>
      </c>
      <c r="T66" s="4">
        <v>160</v>
      </c>
      <c r="U66" s="5">
        <v>0</v>
      </c>
      <c r="V66" s="5">
        <v>0</v>
      </c>
      <c r="W66" s="4">
        <v>100</v>
      </c>
      <c r="X66" s="5">
        <v>0</v>
      </c>
      <c r="Y66" s="4">
        <v>1000</v>
      </c>
      <c r="Z66" s="5">
        <v>0</v>
      </c>
    </row>
    <row r="67" spans="1:26" x14ac:dyDescent="0.25">
      <c r="A67" s="2" t="s">
        <v>213</v>
      </c>
      <c r="B67" s="6" t="s">
        <v>176</v>
      </c>
      <c r="C67" s="6" t="s">
        <v>717</v>
      </c>
      <c r="D67" s="6" t="s">
        <v>195</v>
      </c>
      <c r="E67" s="4">
        <v>950000</v>
      </c>
      <c r="F67" s="5">
        <v>0</v>
      </c>
      <c r="G67" s="5">
        <v>0</v>
      </c>
      <c r="H67" s="4">
        <v>2500</v>
      </c>
      <c r="I67" s="5">
        <v>0</v>
      </c>
      <c r="J67" s="5">
        <v>0</v>
      </c>
      <c r="K67" s="4">
        <v>1000</v>
      </c>
      <c r="L67" s="5">
        <v>0</v>
      </c>
      <c r="M67" s="5">
        <v>0</v>
      </c>
      <c r="N67" s="4">
        <v>5000</v>
      </c>
      <c r="O67" s="5">
        <v>0</v>
      </c>
      <c r="P67" s="5">
        <v>0</v>
      </c>
      <c r="Q67" s="4">
        <v>4000</v>
      </c>
      <c r="R67" s="5">
        <v>0</v>
      </c>
      <c r="S67" s="5">
        <v>0</v>
      </c>
      <c r="T67" s="4">
        <v>160</v>
      </c>
      <c r="U67" s="5">
        <v>0</v>
      </c>
      <c r="V67" s="5">
        <v>0</v>
      </c>
      <c r="W67" s="4">
        <v>100</v>
      </c>
      <c r="X67" s="5">
        <v>0</v>
      </c>
      <c r="Y67" s="4">
        <v>1000</v>
      </c>
      <c r="Z67" s="5">
        <v>0</v>
      </c>
    </row>
    <row r="68" spans="1:26" x14ac:dyDescent="0.25">
      <c r="A68" s="2" t="s">
        <v>44</v>
      </c>
      <c r="B68" s="6" t="s">
        <v>230</v>
      </c>
      <c r="D68" s="6" t="str">
        <f>VLOOKUP(TRIM(A68),wikily_maps!A:O,15,FALSE)</f>
        <v>Astraeos, Crystal Isles, Extinction, Fjordur, Genesis 2, Genesis, Lost Island, Ragnarok, Scorched Earth, The Center, The Island, Valguero</v>
      </c>
      <c r="E68" s="4">
        <v>900</v>
      </c>
      <c r="F68" s="1">
        <v>180</v>
      </c>
      <c r="G68" s="5">
        <v>5.4</v>
      </c>
      <c r="H68" s="4">
        <v>250</v>
      </c>
      <c r="I68" s="1">
        <v>25</v>
      </c>
      <c r="J68" s="5">
        <v>10</v>
      </c>
      <c r="K68" s="4">
        <v>150</v>
      </c>
      <c r="L68" s="1">
        <v>15</v>
      </c>
      <c r="M68" s="5">
        <v>10</v>
      </c>
      <c r="N68" s="4">
        <v>2500</v>
      </c>
      <c r="O68" s="1">
        <v>250</v>
      </c>
      <c r="P68" s="5">
        <v>10</v>
      </c>
      <c r="Q68" s="4">
        <v>400</v>
      </c>
      <c r="R68" s="1">
        <v>8</v>
      </c>
      <c r="S68" s="5">
        <v>4</v>
      </c>
      <c r="T68" s="4">
        <v>29</v>
      </c>
      <c r="U68" s="1">
        <v>1.45</v>
      </c>
      <c r="V68" s="5">
        <v>1.7</v>
      </c>
      <c r="W68" s="4">
        <v>100</v>
      </c>
      <c r="X68" s="5">
        <v>1</v>
      </c>
      <c r="Y68" s="4">
        <v>800</v>
      </c>
      <c r="Z68" s="5">
        <v>48</v>
      </c>
    </row>
    <row r="69" spans="1:26" x14ac:dyDescent="0.25">
      <c r="A69" s="2" t="s">
        <v>45</v>
      </c>
      <c r="B69" s="6" t="s">
        <v>230</v>
      </c>
      <c r="D69" s="6" t="str">
        <f>VLOOKUP(TRIM(A69),wikily_maps!A:O,15,FALSE)</f>
        <v>Lost Island, Scorched Earth</v>
      </c>
      <c r="E69" s="4">
        <v>20000</v>
      </c>
      <c r="F69" s="1">
        <v>40</v>
      </c>
      <c r="G69" s="5">
        <v>2.2999999999999998</v>
      </c>
      <c r="H69" s="4">
        <v>100</v>
      </c>
      <c r="I69" s="1">
        <v>10</v>
      </c>
      <c r="J69" s="5">
        <v>10</v>
      </c>
      <c r="K69" s="4">
        <v>0</v>
      </c>
      <c r="L69" s="1">
        <v>0</v>
      </c>
      <c r="M69" s="5">
        <v>0</v>
      </c>
      <c r="N69" s="4">
        <v>100</v>
      </c>
      <c r="O69" s="1">
        <v>10</v>
      </c>
      <c r="P69" s="5">
        <v>10</v>
      </c>
      <c r="Q69" s="4">
        <v>100</v>
      </c>
      <c r="R69" s="1">
        <v>2</v>
      </c>
      <c r="S69" s="5">
        <v>4</v>
      </c>
      <c r="T69" s="4">
        <v>225</v>
      </c>
      <c r="U69" s="1">
        <v>11.25</v>
      </c>
      <c r="V69" s="5">
        <v>1.7</v>
      </c>
      <c r="W69" s="4">
        <v>100</v>
      </c>
      <c r="X69" s="5">
        <v>0</v>
      </c>
      <c r="Y69" s="4">
        <v>100</v>
      </c>
      <c r="Z69" s="5">
        <v>6</v>
      </c>
    </row>
    <row r="70" spans="1:26" x14ac:dyDescent="0.25">
      <c r="A70" s="2" t="s">
        <v>214</v>
      </c>
      <c r="B70" s="6" t="s">
        <v>178</v>
      </c>
      <c r="C70" s="6" t="s">
        <v>187</v>
      </c>
      <c r="D70" s="6" t="s">
        <v>182</v>
      </c>
      <c r="E70" s="13">
        <v>924</v>
      </c>
      <c r="F70" s="5">
        <v>0</v>
      </c>
      <c r="G70" s="5">
        <v>0</v>
      </c>
      <c r="H70" s="4">
        <v>2000</v>
      </c>
      <c r="I70" s="5">
        <v>0</v>
      </c>
      <c r="J70" s="5">
        <v>0</v>
      </c>
      <c r="K70" s="4">
        <v>150</v>
      </c>
      <c r="L70" s="5">
        <v>0</v>
      </c>
      <c r="M70" s="5">
        <v>0</v>
      </c>
      <c r="N70" s="4">
        <v>3000</v>
      </c>
      <c r="O70" s="5">
        <v>0</v>
      </c>
      <c r="P70" s="5">
        <v>0</v>
      </c>
      <c r="Q70" s="4">
        <v>1500</v>
      </c>
      <c r="R70" s="5">
        <v>0</v>
      </c>
      <c r="S70" s="5">
        <v>0</v>
      </c>
      <c r="T70" s="4">
        <v>35</v>
      </c>
      <c r="U70" s="5">
        <v>0</v>
      </c>
      <c r="V70" s="5">
        <v>0</v>
      </c>
      <c r="W70" s="4">
        <v>100</v>
      </c>
      <c r="X70" s="5">
        <v>0</v>
      </c>
      <c r="Y70" s="4">
        <v>420</v>
      </c>
      <c r="Z70" s="5">
        <v>0</v>
      </c>
    </row>
    <row r="71" spans="1:26" x14ac:dyDescent="0.25">
      <c r="A71" s="2" t="s">
        <v>214</v>
      </c>
      <c r="B71" s="6" t="s">
        <v>177</v>
      </c>
      <c r="C71" s="6" t="s">
        <v>188</v>
      </c>
      <c r="D71" s="6" t="s">
        <v>182</v>
      </c>
      <c r="E71" s="13">
        <v>1848</v>
      </c>
      <c r="F71" s="5">
        <v>0</v>
      </c>
      <c r="G71" s="5">
        <v>0</v>
      </c>
      <c r="H71" s="4">
        <v>2000</v>
      </c>
      <c r="I71" s="5">
        <v>0</v>
      </c>
      <c r="J71" s="5">
        <v>0</v>
      </c>
      <c r="K71" s="4">
        <v>150</v>
      </c>
      <c r="L71" s="5">
        <v>0</v>
      </c>
      <c r="M71" s="5">
        <v>0</v>
      </c>
      <c r="N71" s="4">
        <v>3000</v>
      </c>
      <c r="O71" s="5">
        <v>0</v>
      </c>
      <c r="P71" s="5">
        <v>0</v>
      </c>
      <c r="Q71" s="4">
        <v>1500</v>
      </c>
      <c r="R71" s="5">
        <v>0</v>
      </c>
      <c r="S71" s="5">
        <v>0</v>
      </c>
      <c r="T71" s="4">
        <v>35</v>
      </c>
      <c r="U71" s="5">
        <v>0</v>
      </c>
      <c r="V71" s="5">
        <v>0</v>
      </c>
      <c r="W71" s="4">
        <v>100</v>
      </c>
      <c r="X71" s="5">
        <v>0</v>
      </c>
      <c r="Y71" s="4">
        <v>420</v>
      </c>
      <c r="Z71" s="5">
        <v>0</v>
      </c>
    </row>
    <row r="72" spans="1:26" x14ac:dyDescent="0.25">
      <c r="A72" s="2" t="s">
        <v>214</v>
      </c>
      <c r="B72" s="6" t="s">
        <v>176</v>
      </c>
      <c r="C72" s="6" t="s">
        <v>189</v>
      </c>
      <c r="D72" s="6" t="s">
        <v>182</v>
      </c>
      <c r="E72" s="4">
        <v>2772</v>
      </c>
      <c r="F72" s="5">
        <v>0</v>
      </c>
      <c r="G72" s="5">
        <v>0</v>
      </c>
      <c r="H72" s="4">
        <v>2000</v>
      </c>
      <c r="I72" s="5">
        <v>0</v>
      </c>
      <c r="J72" s="5">
        <v>0</v>
      </c>
      <c r="K72" s="4">
        <v>150</v>
      </c>
      <c r="L72" s="5">
        <v>0</v>
      </c>
      <c r="M72" s="5">
        <v>0</v>
      </c>
      <c r="N72" s="4">
        <v>3000</v>
      </c>
      <c r="O72" s="5">
        <v>0</v>
      </c>
      <c r="P72" s="5">
        <v>0</v>
      </c>
      <c r="Q72" s="4">
        <v>1500</v>
      </c>
      <c r="R72" s="5">
        <v>0</v>
      </c>
      <c r="S72" s="5">
        <v>0</v>
      </c>
      <c r="T72" s="4">
        <v>35</v>
      </c>
      <c r="U72" s="5">
        <v>0</v>
      </c>
      <c r="V72" s="5">
        <v>0</v>
      </c>
      <c r="W72" s="4">
        <v>100</v>
      </c>
      <c r="X72" s="5">
        <v>0</v>
      </c>
      <c r="Y72" s="4">
        <v>420</v>
      </c>
      <c r="Z72" s="5">
        <v>0</v>
      </c>
    </row>
    <row r="73" spans="1:26" x14ac:dyDescent="0.25">
      <c r="A73" s="2" t="s">
        <v>214</v>
      </c>
      <c r="B73" s="6" t="s">
        <v>178</v>
      </c>
      <c r="C73" s="6" t="s">
        <v>187</v>
      </c>
      <c r="D73" s="6" t="s">
        <v>182</v>
      </c>
      <c r="E73" s="13">
        <v>924</v>
      </c>
      <c r="F73" s="5">
        <v>0</v>
      </c>
      <c r="G73" s="5">
        <v>0</v>
      </c>
      <c r="H73" s="4">
        <v>2000</v>
      </c>
      <c r="I73" s="5">
        <v>0</v>
      </c>
      <c r="J73" s="5">
        <v>0</v>
      </c>
      <c r="K73" s="4">
        <v>150</v>
      </c>
      <c r="L73" s="5">
        <v>0</v>
      </c>
      <c r="M73" s="5">
        <v>0</v>
      </c>
      <c r="N73" s="4">
        <v>3000</v>
      </c>
      <c r="O73" s="5">
        <v>0</v>
      </c>
      <c r="P73" s="5">
        <v>0</v>
      </c>
      <c r="Q73" s="4">
        <v>1500</v>
      </c>
      <c r="R73" s="5">
        <v>0</v>
      </c>
      <c r="S73" s="5">
        <v>0</v>
      </c>
      <c r="T73" s="4">
        <v>35</v>
      </c>
      <c r="U73" s="5">
        <v>0</v>
      </c>
      <c r="V73" s="5">
        <v>0</v>
      </c>
      <c r="W73" s="4">
        <v>100</v>
      </c>
      <c r="X73" s="5">
        <v>0</v>
      </c>
      <c r="Y73" s="4">
        <v>420</v>
      </c>
      <c r="Z73" s="5">
        <v>0</v>
      </c>
    </row>
    <row r="74" spans="1:26" x14ac:dyDescent="0.25">
      <c r="A74" s="2" t="s">
        <v>214</v>
      </c>
      <c r="B74" s="6" t="s">
        <v>177</v>
      </c>
      <c r="C74" s="6" t="s">
        <v>188</v>
      </c>
      <c r="D74" s="6" t="s">
        <v>182</v>
      </c>
      <c r="E74" s="13">
        <v>1848</v>
      </c>
      <c r="F74" s="5">
        <v>0</v>
      </c>
      <c r="G74" s="5">
        <v>0</v>
      </c>
      <c r="H74" s="4">
        <v>2000</v>
      </c>
      <c r="I74" s="5">
        <v>0</v>
      </c>
      <c r="J74" s="5">
        <v>0</v>
      </c>
      <c r="K74" s="4">
        <v>150</v>
      </c>
      <c r="L74" s="5">
        <v>0</v>
      </c>
      <c r="M74" s="5">
        <v>0</v>
      </c>
      <c r="N74" s="4">
        <v>3000</v>
      </c>
      <c r="O74" s="5">
        <v>0</v>
      </c>
      <c r="P74" s="5">
        <v>0</v>
      </c>
      <c r="Q74" s="4">
        <v>1500</v>
      </c>
      <c r="R74" s="5">
        <v>0</v>
      </c>
      <c r="S74" s="5">
        <v>0</v>
      </c>
      <c r="T74" s="4">
        <v>35</v>
      </c>
      <c r="U74" s="5">
        <v>0</v>
      </c>
      <c r="V74" s="5">
        <v>0</v>
      </c>
      <c r="W74" s="4">
        <v>100</v>
      </c>
      <c r="X74" s="5">
        <v>0</v>
      </c>
      <c r="Y74" s="4">
        <v>420</v>
      </c>
      <c r="Z74" s="5">
        <v>0</v>
      </c>
    </row>
    <row r="75" spans="1:26" x14ac:dyDescent="0.25">
      <c r="A75" s="2" t="s">
        <v>214</v>
      </c>
      <c r="B75" s="6" t="s">
        <v>176</v>
      </c>
      <c r="C75" s="6" t="s">
        <v>189</v>
      </c>
      <c r="D75" s="6" t="s">
        <v>182</v>
      </c>
      <c r="E75" s="4">
        <v>2772</v>
      </c>
      <c r="F75" s="5">
        <v>0</v>
      </c>
      <c r="G75" s="5">
        <v>0</v>
      </c>
      <c r="H75" s="4">
        <v>2000</v>
      </c>
      <c r="I75" s="5">
        <v>0</v>
      </c>
      <c r="J75" s="5">
        <v>0</v>
      </c>
      <c r="K75" s="4">
        <v>150</v>
      </c>
      <c r="L75" s="5">
        <v>0</v>
      </c>
      <c r="M75" s="5">
        <v>0</v>
      </c>
      <c r="N75" s="4">
        <v>3000</v>
      </c>
      <c r="O75" s="5">
        <v>0</v>
      </c>
      <c r="P75" s="5">
        <v>0</v>
      </c>
      <c r="Q75" s="4">
        <v>1500</v>
      </c>
      <c r="R75" s="5">
        <v>0</v>
      </c>
      <c r="S75" s="5">
        <v>0</v>
      </c>
      <c r="T75" s="4">
        <v>35</v>
      </c>
      <c r="U75" s="5">
        <v>0</v>
      </c>
      <c r="V75" s="5">
        <v>0</v>
      </c>
      <c r="W75" s="4">
        <v>100</v>
      </c>
      <c r="X75" s="5">
        <v>0</v>
      </c>
      <c r="Y75" s="4">
        <v>420</v>
      </c>
      <c r="Z75" s="5">
        <v>0</v>
      </c>
    </row>
    <row r="76" spans="1:26" x14ac:dyDescent="0.25">
      <c r="A76" s="2" t="s">
        <v>214</v>
      </c>
      <c r="B76" s="6" t="s">
        <v>178</v>
      </c>
      <c r="C76" s="6" t="s">
        <v>187</v>
      </c>
      <c r="D76" s="6" t="s">
        <v>182</v>
      </c>
      <c r="E76" s="13">
        <v>924</v>
      </c>
      <c r="F76" s="5">
        <v>0</v>
      </c>
      <c r="G76" s="5">
        <v>0</v>
      </c>
      <c r="H76" s="4">
        <v>2000</v>
      </c>
      <c r="I76" s="5">
        <v>0</v>
      </c>
      <c r="J76" s="5">
        <v>0</v>
      </c>
      <c r="K76" s="4">
        <v>150</v>
      </c>
      <c r="L76" s="5">
        <v>0</v>
      </c>
      <c r="M76" s="5">
        <v>0</v>
      </c>
      <c r="N76" s="4">
        <v>3000</v>
      </c>
      <c r="O76" s="5">
        <v>0</v>
      </c>
      <c r="P76" s="5">
        <v>0</v>
      </c>
      <c r="Q76" s="4">
        <v>1500</v>
      </c>
      <c r="R76" s="5">
        <v>0</v>
      </c>
      <c r="S76" s="5">
        <v>0</v>
      </c>
      <c r="T76" s="4">
        <v>35</v>
      </c>
      <c r="U76" s="5">
        <v>0</v>
      </c>
      <c r="V76" s="5">
        <v>0</v>
      </c>
      <c r="W76" s="4">
        <v>100</v>
      </c>
      <c r="X76" s="5">
        <v>0</v>
      </c>
      <c r="Y76" s="4">
        <v>420</v>
      </c>
      <c r="Z76" s="5">
        <v>0</v>
      </c>
    </row>
    <row r="77" spans="1:26" x14ac:dyDescent="0.25">
      <c r="A77" s="2" t="s">
        <v>214</v>
      </c>
      <c r="B77" s="6" t="s">
        <v>177</v>
      </c>
      <c r="C77" s="6" t="s">
        <v>188</v>
      </c>
      <c r="D77" s="6" t="s">
        <v>182</v>
      </c>
      <c r="E77" s="13">
        <v>1848</v>
      </c>
      <c r="F77" s="5">
        <v>0</v>
      </c>
      <c r="G77" s="5">
        <v>0</v>
      </c>
      <c r="H77" s="4">
        <v>2000</v>
      </c>
      <c r="I77" s="5">
        <v>0</v>
      </c>
      <c r="J77" s="5">
        <v>0</v>
      </c>
      <c r="K77" s="4">
        <v>150</v>
      </c>
      <c r="L77" s="5">
        <v>0</v>
      </c>
      <c r="M77" s="5">
        <v>0</v>
      </c>
      <c r="N77" s="4">
        <v>3000</v>
      </c>
      <c r="O77" s="5">
        <v>0</v>
      </c>
      <c r="P77" s="5">
        <v>0</v>
      </c>
      <c r="Q77" s="4">
        <v>1500</v>
      </c>
      <c r="R77" s="5">
        <v>0</v>
      </c>
      <c r="S77" s="5">
        <v>0</v>
      </c>
      <c r="T77" s="4">
        <v>35</v>
      </c>
      <c r="U77" s="5">
        <v>0</v>
      </c>
      <c r="V77" s="5">
        <v>0</v>
      </c>
      <c r="W77" s="4">
        <v>100</v>
      </c>
      <c r="X77" s="5">
        <v>0</v>
      </c>
      <c r="Y77" s="4">
        <v>420</v>
      </c>
      <c r="Z77" s="5">
        <v>0</v>
      </c>
    </row>
    <row r="78" spans="1:26" x14ac:dyDescent="0.25">
      <c r="A78" s="2" t="s">
        <v>214</v>
      </c>
      <c r="B78" s="6" t="s">
        <v>176</v>
      </c>
      <c r="C78" s="6" t="s">
        <v>189</v>
      </c>
      <c r="D78" s="6" t="s">
        <v>182</v>
      </c>
      <c r="E78" s="4">
        <v>2772</v>
      </c>
      <c r="F78" s="5">
        <v>0</v>
      </c>
      <c r="G78" s="5">
        <v>0</v>
      </c>
      <c r="H78" s="4">
        <v>2000</v>
      </c>
      <c r="I78" s="5">
        <v>0</v>
      </c>
      <c r="J78" s="5">
        <v>0</v>
      </c>
      <c r="K78" s="4">
        <v>150</v>
      </c>
      <c r="L78" s="5">
        <v>0</v>
      </c>
      <c r="M78" s="5">
        <v>0</v>
      </c>
      <c r="N78" s="4">
        <v>3000</v>
      </c>
      <c r="O78" s="5">
        <v>0</v>
      </c>
      <c r="P78" s="5">
        <v>0</v>
      </c>
      <c r="Q78" s="4">
        <v>1500</v>
      </c>
      <c r="R78" s="5">
        <v>0</v>
      </c>
      <c r="S78" s="5">
        <v>0</v>
      </c>
      <c r="T78" s="4">
        <v>35</v>
      </c>
      <c r="U78" s="5">
        <v>0</v>
      </c>
      <c r="V78" s="5">
        <v>0</v>
      </c>
      <c r="W78" s="4">
        <v>100</v>
      </c>
      <c r="X78" s="5">
        <v>0</v>
      </c>
      <c r="Y78" s="4">
        <v>420</v>
      </c>
      <c r="Z78" s="5">
        <v>0</v>
      </c>
    </row>
    <row r="79" spans="1:26" x14ac:dyDescent="0.25">
      <c r="A79" s="2" t="s">
        <v>214</v>
      </c>
      <c r="B79" s="6" t="s">
        <v>178</v>
      </c>
      <c r="C79" s="6" t="s">
        <v>187</v>
      </c>
      <c r="D79" s="6" t="s">
        <v>182</v>
      </c>
      <c r="E79" s="13">
        <v>924</v>
      </c>
      <c r="F79" s="5">
        <v>0</v>
      </c>
      <c r="G79" s="5">
        <v>0</v>
      </c>
      <c r="H79" s="4">
        <v>2000</v>
      </c>
      <c r="I79" s="5">
        <v>0</v>
      </c>
      <c r="J79" s="5">
        <v>0</v>
      </c>
      <c r="K79" s="4">
        <v>150</v>
      </c>
      <c r="L79" s="5">
        <v>0</v>
      </c>
      <c r="M79" s="5">
        <v>0</v>
      </c>
      <c r="N79" s="4">
        <v>3000</v>
      </c>
      <c r="O79" s="5">
        <v>0</v>
      </c>
      <c r="P79" s="5">
        <v>0</v>
      </c>
      <c r="Q79" s="4">
        <v>1500</v>
      </c>
      <c r="R79" s="5">
        <v>0</v>
      </c>
      <c r="S79" s="5">
        <v>0</v>
      </c>
      <c r="T79" s="4">
        <v>35</v>
      </c>
      <c r="U79" s="5">
        <v>0</v>
      </c>
      <c r="V79" s="5">
        <v>0</v>
      </c>
      <c r="W79" s="4">
        <v>100</v>
      </c>
      <c r="X79" s="5">
        <v>0</v>
      </c>
      <c r="Y79" s="4">
        <v>420</v>
      </c>
      <c r="Z79" s="5">
        <v>0</v>
      </c>
    </row>
    <row r="80" spans="1:26" x14ac:dyDescent="0.25">
      <c r="A80" s="2" t="s">
        <v>214</v>
      </c>
      <c r="B80" s="6" t="s">
        <v>177</v>
      </c>
      <c r="C80" s="6" t="s">
        <v>188</v>
      </c>
      <c r="D80" s="6" t="s">
        <v>182</v>
      </c>
      <c r="E80" s="13">
        <v>1848</v>
      </c>
      <c r="F80" s="5">
        <v>0</v>
      </c>
      <c r="G80" s="5">
        <v>0</v>
      </c>
      <c r="H80" s="4">
        <v>2000</v>
      </c>
      <c r="I80" s="5">
        <v>0</v>
      </c>
      <c r="J80" s="5">
        <v>0</v>
      </c>
      <c r="K80" s="4">
        <v>150</v>
      </c>
      <c r="L80" s="5">
        <v>0</v>
      </c>
      <c r="M80" s="5">
        <v>0</v>
      </c>
      <c r="N80" s="4">
        <v>3000</v>
      </c>
      <c r="O80" s="5">
        <v>0</v>
      </c>
      <c r="P80" s="5">
        <v>0</v>
      </c>
      <c r="Q80" s="4">
        <v>1500</v>
      </c>
      <c r="R80" s="5">
        <v>0</v>
      </c>
      <c r="S80" s="5">
        <v>0</v>
      </c>
      <c r="T80" s="4">
        <v>35</v>
      </c>
      <c r="U80" s="5">
        <v>0</v>
      </c>
      <c r="V80" s="5">
        <v>0</v>
      </c>
      <c r="W80" s="4">
        <v>100</v>
      </c>
      <c r="X80" s="5">
        <v>0</v>
      </c>
      <c r="Y80" s="4">
        <v>420</v>
      </c>
      <c r="Z80" s="5">
        <v>0</v>
      </c>
    </row>
    <row r="81" spans="1:26" x14ac:dyDescent="0.25">
      <c r="A81" s="2" t="s">
        <v>214</v>
      </c>
      <c r="B81" s="6" t="s">
        <v>176</v>
      </c>
      <c r="C81" s="6" t="s">
        <v>189</v>
      </c>
      <c r="D81" s="6" t="s">
        <v>182</v>
      </c>
      <c r="E81" s="4">
        <v>2772</v>
      </c>
      <c r="F81" s="5">
        <v>0</v>
      </c>
      <c r="G81" s="5">
        <v>0</v>
      </c>
      <c r="H81" s="4">
        <v>2000</v>
      </c>
      <c r="I81" s="5">
        <v>0</v>
      </c>
      <c r="J81" s="5">
        <v>0</v>
      </c>
      <c r="K81" s="4">
        <v>150</v>
      </c>
      <c r="L81" s="5">
        <v>0</v>
      </c>
      <c r="M81" s="5">
        <v>0</v>
      </c>
      <c r="N81" s="4">
        <v>3000</v>
      </c>
      <c r="O81" s="5">
        <v>0</v>
      </c>
      <c r="P81" s="5">
        <v>0</v>
      </c>
      <c r="Q81" s="4">
        <v>1500</v>
      </c>
      <c r="R81" s="5">
        <v>0</v>
      </c>
      <c r="S81" s="5">
        <v>0</v>
      </c>
      <c r="T81" s="4">
        <v>35</v>
      </c>
      <c r="U81" s="5">
        <v>0</v>
      </c>
      <c r="V81" s="5">
        <v>0</v>
      </c>
      <c r="W81" s="4">
        <v>100</v>
      </c>
      <c r="X81" s="5">
        <v>0</v>
      </c>
      <c r="Y81" s="4">
        <v>420</v>
      </c>
      <c r="Z81" s="5">
        <v>0</v>
      </c>
    </row>
    <row r="82" spans="1:26" x14ac:dyDescent="0.25">
      <c r="A82" s="2" t="s">
        <v>214</v>
      </c>
      <c r="B82" s="6" t="s">
        <v>178</v>
      </c>
      <c r="C82" s="6" t="s">
        <v>187</v>
      </c>
      <c r="D82" s="6" t="s">
        <v>182</v>
      </c>
      <c r="E82" s="13">
        <v>924</v>
      </c>
      <c r="F82" s="5">
        <v>0</v>
      </c>
      <c r="G82" s="5">
        <v>0</v>
      </c>
      <c r="H82" s="4">
        <v>2000</v>
      </c>
      <c r="I82" s="5">
        <v>0</v>
      </c>
      <c r="J82" s="5">
        <v>0</v>
      </c>
      <c r="K82" s="4">
        <v>150</v>
      </c>
      <c r="L82" s="5">
        <v>0</v>
      </c>
      <c r="M82" s="5">
        <v>0</v>
      </c>
      <c r="N82" s="4">
        <v>3000</v>
      </c>
      <c r="O82" s="5">
        <v>0</v>
      </c>
      <c r="P82" s="5">
        <v>0</v>
      </c>
      <c r="Q82" s="4">
        <v>1500</v>
      </c>
      <c r="R82" s="5">
        <v>0</v>
      </c>
      <c r="S82" s="5">
        <v>0</v>
      </c>
      <c r="T82" s="4">
        <v>35</v>
      </c>
      <c r="U82" s="5">
        <v>0</v>
      </c>
      <c r="V82" s="5">
        <v>0</v>
      </c>
      <c r="W82" s="4">
        <v>100</v>
      </c>
      <c r="X82" s="5">
        <v>0</v>
      </c>
      <c r="Y82" s="4">
        <v>420</v>
      </c>
      <c r="Z82" s="5">
        <v>0</v>
      </c>
    </row>
    <row r="83" spans="1:26" x14ac:dyDescent="0.25">
      <c r="A83" s="2" t="s">
        <v>214</v>
      </c>
      <c r="B83" s="6" t="s">
        <v>177</v>
      </c>
      <c r="C83" s="6" t="s">
        <v>188</v>
      </c>
      <c r="D83" s="6" t="s">
        <v>182</v>
      </c>
      <c r="E83" s="13">
        <v>1848</v>
      </c>
      <c r="F83" s="5">
        <v>0</v>
      </c>
      <c r="G83" s="5">
        <v>0</v>
      </c>
      <c r="H83" s="4">
        <v>2000</v>
      </c>
      <c r="I83" s="5">
        <v>0</v>
      </c>
      <c r="J83" s="5">
        <v>0</v>
      </c>
      <c r="K83" s="4">
        <v>150</v>
      </c>
      <c r="L83" s="5">
        <v>0</v>
      </c>
      <c r="M83" s="5">
        <v>0</v>
      </c>
      <c r="N83" s="4">
        <v>3000</v>
      </c>
      <c r="O83" s="5">
        <v>0</v>
      </c>
      <c r="P83" s="5">
        <v>0</v>
      </c>
      <c r="Q83" s="4">
        <v>1500</v>
      </c>
      <c r="R83" s="5">
        <v>0</v>
      </c>
      <c r="S83" s="5">
        <v>0</v>
      </c>
      <c r="T83" s="4">
        <v>35</v>
      </c>
      <c r="U83" s="5">
        <v>0</v>
      </c>
      <c r="V83" s="5">
        <v>0</v>
      </c>
      <c r="W83" s="4">
        <v>100</v>
      </c>
      <c r="X83" s="5">
        <v>0</v>
      </c>
      <c r="Y83" s="4">
        <v>420</v>
      </c>
      <c r="Z83" s="5">
        <v>0</v>
      </c>
    </row>
    <row r="84" spans="1:26" x14ac:dyDescent="0.25">
      <c r="A84" s="2" t="s">
        <v>214</v>
      </c>
      <c r="B84" s="6" t="s">
        <v>176</v>
      </c>
      <c r="C84" s="6" t="s">
        <v>189</v>
      </c>
      <c r="D84" s="6" t="s">
        <v>182</v>
      </c>
      <c r="E84" s="4">
        <v>2772</v>
      </c>
      <c r="F84" s="5">
        <v>0</v>
      </c>
      <c r="G84" s="5">
        <v>0</v>
      </c>
      <c r="H84" s="4">
        <v>2000</v>
      </c>
      <c r="I84" s="5">
        <v>0</v>
      </c>
      <c r="J84" s="5">
        <v>0</v>
      </c>
      <c r="K84" s="4">
        <v>150</v>
      </c>
      <c r="L84" s="5">
        <v>0</v>
      </c>
      <c r="M84" s="5">
        <v>0</v>
      </c>
      <c r="N84" s="4">
        <v>3000</v>
      </c>
      <c r="O84" s="5">
        <v>0</v>
      </c>
      <c r="P84" s="5">
        <v>0</v>
      </c>
      <c r="Q84" s="4">
        <v>1500</v>
      </c>
      <c r="R84" s="5">
        <v>0</v>
      </c>
      <c r="S84" s="5">
        <v>0</v>
      </c>
      <c r="T84" s="4">
        <v>35</v>
      </c>
      <c r="U84" s="5">
        <v>0</v>
      </c>
      <c r="V84" s="5">
        <v>0</v>
      </c>
      <c r="W84" s="4">
        <v>100</v>
      </c>
      <c r="X84" s="5">
        <v>0</v>
      </c>
      <c r="Y84" s="4">
        <v>420</v>
      </c>
      <c r="Z84" s="5">
        <v>0</v>
      </c>
    </row>
    <row r="85" spans="1:26" x14ac:dyDescent="0.25">
      <c r="A85" s="2" t="s">
        <v>46</v>
      </c>
      <c r="B85" s="6" t="s">
        <v>230</v>
      </c>
      <c r="D85" s="6" t="str">
        <f>VLOOKUP(TRIM(A85),wikily_maps!A:O,15,FALSE)</f>
        <v>Fjordur, Valguero</v>
      </c>
      <c r="E85" s="4">
        <v>200</v>
      </c>
      <c r="F85" s="1">
        <v>40</v>
      </c>
      <c r="G85" s="5">
        <v>5.4</v>
      </c>
      <c r="H85" s="4">
        <v>150</v>
      </c>
      <c r="I85" s="1">
        <v>15</v>
      </c>
      <c r="J85" s="5">
        <v>10</v>
      </c>
      <c r="K85" s="4">
        <v>150</v>
      </c>
      <c r="L85" s="1">
        <v>15</v>
      </c>
      <c r="M85" s="5">
        <v>10</v>
      </c>
      <c r="N85" s="4">
        <v>1200</v>
      </c>
      <c r="O85" s="1">
        <v>120</v>
      </c>
      <c r="P85" s="5">
        <v>10</v>
      </c>
      <c r="Q85" s="4">
        <v>140</v>
      </c>
      <c r="R85" s="1">
        <v>2.8</v>
      </c>
      <c r="S85" s="5">
        <v>4</v>
      </c>
      <c r="T85" s="4">
        <v>30</v>
      </c>
      <c r="U85" s="1">
        <v>1.5</v>
      </c>
      <c r="V85" s="5">
        <v>1.7</v>
      </c>
      <c r="W85" s="4">
        <v>100</v>
      </c>
      <c r="X85" s="5">
        <v>1.5</v>
      </c>
      <c r="Y85" s="4">
        <v>180</v>
      </c>
      <c r="Z85" s="5">
        <v>10.8</v>
      </c>
    </row>
    <row r="86" spans="1:26" x14ac:dyDescent="0.25">
      <c r="A86" s="2" t="s">
        <v>215</v>
      </c>
      <c r="B86" s="6" t="s">
        <v>175</v>
      </c>
      <c r="C86" s="6" t="s">
        <v>185</v>
      </c>
      <c r="D86" s="6" t="s">
        <v>196</v>
      </c>
      <c r="E86" s="4">
        <v>4000</v>
      </c>
      <c r="F86" s="5">
        <v>0</v>
      </c>
      <c r="G86" s="5">
        <v>0</v>
      </c>
      <c r="H86" s="4">
        <v>10000</v>
      </c>
      <c r="I86" s="5">
        <v>0</v>
      </c>
      <c r="J86" s="5">
        <v>0</v>
      </c>
      <c r="K86" s="4">
        <v>150</v>
      </c>
      <c r="L86" s="5">
        <v>0</v>
      </c>
      <c r="M86" s="5">
        <v>0</v>
      </c>
      <c r="N86" s="4">
        <v>100</v>
      </c>
      <c r="O86" s="5">
        <v>0</v>
      </c>
      <c r="P86" s="5">
        <v>0</v>
      </c>
      <c r="Q86" s="4">
        <v>100</v>
      </c>
      <c r="R86" s="5">
        <v>0</v>
      </c>
      <c r="S86" s="5">
        <v>0</v>
      </c>
      <c r="T86" s="4">
        <v>150</v>
      </c>
      <c r="U86" s="5">
        <v>0</v>
      </c>
      <c r="V86" s="5">
        <v>0</v>
      </c>
      <c r="W86" s="4">
        <v>100</v>
      </c>
      <c r="X86" s="5">
        <v>0</v>
      </c>
      <c r="Y86" s="4">
        <v>100</v>
      </c>
      <c r="Z86" s="5">
        <v>0</v>
      </c>
    </row>
    <row r="87" spans="1:26" x14ac:dyDescent="0.25">
      <c r="A87" s="2" t="s">
        <v>215</v>
      </c>
      <c r="B87" s="6" t="s">
        <v>175</v>
      </c>
      <c r="C87" s="6" t="s">
        <v>185</v>
      </c>
      <c r="D87" s="6" t="s">
        <v>196</v>
      </c>
      <c r="E87" s="4">
        <v>4000</v>
      </c>
      <c r="F87" s="5">
        <v>0</v>
      </c>
      <c r="G87" s="5">
        <v>0</v>
      </c>
      <c r="H87" s="4">
        <v>10000</v>
      </c>
      <c r="I87" s="5">
        <v>0</v>
      </c>
      <c r="J87" s="5">
        <v>0</v>
      </c>
      <c r="K87" s="4">
        <v>150</v>
      </c>
      <c r="L87" s="5">
        <v>0</v>
      </c>
      <c r="M87" s="5">
        <v>0</v>
      </c>
      <c r="N87" s="4">
        <v>100</v>
      </c>
      <c r="O87" s="5">
        <v>0</v>
      </c>
      <c r="P87" s="5">
        <v>0</v>
      </c>
      <c r="Q87" s="4">
        <v>100</v>
      </c>
      <c r="R87" s="5">
        <v>0</v>
      </c>
      <c r="S87" s="5">
        <v>0</v>
      </c>
      <c r="T87" s="4">
        <v>150</v>
      </c>
      <c r="U87" s="5">
        <v>0</v>
      </c>
      <c r="V87" s="5">
        <v>0</v>
      </c>
      <c r="W87" s="4">
        <v>100</v>
      </c>
      <c r="X87" s="5">
        <v>0</v>
      </c>
      <c r="Y87" s="4">
        <v>100</v>
      </c>
      <c r="Z87" s="5">
        <v>0</v>
      </c>
    </row>
    <row r="88" spans="1:26" x14ac:dyDescent="0.25">
      <c r="A88" s="2" t="s">
        <v>216</v>
      </c>
      <c r="B88" s="6" t="s">
        <v>175</v>
      </c>
      <c r="C88" s="6" t="s">
        <v>185</v>
      </c>
      <c r="D88" s="6" t="s">
        <v>196</v>
      </c>
      <c r="E88" s="4">
        <v>250000</v>
      </c>
      <c r="F88" s="5">
        <v>0</v>
      </c>
      <c r="G88" s="5">
        <v>0</v>
      </c>
      <c r="H88" s="4">
        <v>5000</v>
      </c>
      <c r="I88" s="5">
        <v>0</v>
      </c>
      <c r="J88" s="5">
        <v>0</v>
      </c>
      <c r="K88" s="4">
        <v>150</v>
      </c>
      <c r="L88" s="5">
        <v>0</v>
      </c>
      <c r="M88" s="5">
        <v>0</v>
      </c>
      <c r="N88" s="4">
        <v>864</v>
      </c>
      <c r="O88" s="5">
        <v>0</v>
      </c>
      <c r="P88" s="5">
        <v>0</v>
      </c>
      <c r="Q88" s="4">
        <v>9000</v>
      </c>
      <c r="R88" s="5">
        <v>0</v>
      </c>
      <c r="S88" s="5">
        <v>0</v>
      </c>
      <c r="T88" s="4">
        <v>500</v>
      </c>
      <c r="U88" s="5">
        <v>0</v>
      </c>
      <c r="V88" s="5">
        <v>0</v>
      </c>
      <c r="W88" s="4">
        <v>100</v>
      </c>
      <c r="X88" s="5">
        <v>0</v>
      </c>
      <c r="Y88" s="4">
        <v>30094</v>
      </c>
      <c r="Z88" s="5">
        <v>0</v>
      </c>
    </row>
    <row r="89" spans="1:26" x14ac:dyDescent="0.25">
      <c r="A89" s="2" t="s">
        <v>47</v>
      </c>
      <c r="B89" s="6" t="s">
        <v>230</v>
      </c>
      <c r="D89" s="6" t="str">
        <f>VLOOKUP(TRIM(A89),wikily_maps!A:O,15,FALSE)</f>
        <v>Fjordur</v>
      </c>
      <c r="E89" s="4">
        <v>325</v>
      </c>
      <c r="F89" s="1">
        <v>55.25</v>
      </c>
      <c r="G89" s="5">
        <v>5.4</v>
      </c>
      <c r="H89" s="4">
        <v>500</v>
      </c>
      <c r="I89" s="1">
        <v>25</v>
      </c>
      <c r="J89" s="5">
        <v>6</v>
      </c>
      <c r="K89" s="4">
        <v>150</v>
      </c>
      <c r="L89" s="1">
        <v>15</v>
      </c>
      <c r="M89" s="5">
        <v>10</v>
      </c>
      <c r="N89" s="4">
        <v>1600</v>
      </c>
      <c r="O89" s="1">
        <v>160</v>
      </c>
      <c r="P89" s="5">
        <v>10</v>
      </c>
      <c r="Q89" s="4">
        <v>350</v>
      </c>
      <c r="R89" s="1">
        <v>7</v>
      </c>
      <c r="S89" s="5">
        <v>4</v>
      </c>
      <c r="T89" s="4">
        <v>40</v>
      </c>
      <c r="U89" s="1">
        <v>2</v>
      </c>
      <c r="V89" s="5">
        <v>1.7</v>
      </c>
      <c r="W89" s="4">
        <v>100</v>
      </c>
      <c r="X89" s="5">
        <v>0</v>
      </c>
      <c r="Y89" s="4">
        <v>450</v>
      </c>
      <c r="Z89" s="5">
        <v>27</v>
      </c>
    </row>
    <row r="90" spans="1:26" x14ac:dyDescent="0.25">
      <c r="A90" s="2" t="s">
        <v>48</v>
      </c>
      <c r="B90" s="6" t="s">
        <v>230</v>
      </c>
      <c r="D90" s="6" t="str">
        <f>VLOOKUP(TRIM(A90),wikily_maps!A:O,15,FALSE)</f>
        <v>Astraeos, Crystal Isles, Extinction, Fjordur, Genesis 2, Genesis, Lost Island, Ragnarok, The Center, The Island, Valguero</v>
      </c>
      <c r="E90" s="4">
        <v>130</v>
      </c>
      <c r="F90" s="1">
        <v>26</v>
      </c>
      <c r="G90" s="5">
        <v>5.4</v>
      </c>
      <c r="H90" s="4">
        <v>100</v>
      </c>
      <c r="I90" s="1">
        <v>10</v>
      </c>
      <c r="J90" s="5">
        <v>10</v>
      </c>
      <c r="K90" s="4">
        <v>150</v>
      </c>
      <c r="L90" s="1">
        <v>15</v>
      </c>
      <c r="M90" s="5">
        <v>10</v>
      </c>
      <c r="N90" s="4">
        <v>450</v>
      </c>
      <c r="O90" s="1">
        <v>45</v>
      </c>
      <c r="P90" s="5">
        <v>10</v>
      </c>
      <c r="Q90" s="4">
        <v>45</v>
      </c>
      <c r="R90" s="1">
        <v>0.9</v>
      </c>
      <c r="S90" s="5">
        <v>4</v>
      </c>
      <c r="T90" s="4">
        <v>10</v>
      </c>
      <c r="U90" s="1">
        <v>0.5</v>
      </c>
      <c r="V90" s="5">
        <v>1.7</v>
      </c>
      <c r="W90" s="4">
        <v>100</v>
      </c>
      <c r="X90" s="5">
        <v>1</v>
      </c>
      <c r="Y90" s="4">
        <v>75</v>
      </c>
      <c r="Z90" s="5">
        <v>4.5</v>
      </c>
    </row>
    <row r="91" spans="1:26" x14ac:dyDescent="0.25">
      <c r="A91" s="2" t="s">
        <v>49</v>
      </c>
      <c r="B91" s="6" t="s">
        <v>230</v>
      </c>
      <c r="D91" s="6" t="str">
        <f>VLOOKUP(TRIM(A91),wikily_maps!A:O,15,FALSE)</f>
        <v>Astraeos, Crystal Isles, Extinction, Fjordur, Genesis 2, Genesis, Lost Island, Ragnarok, The Center, The Island, Valguero</v>
      </c>
      <c r="E91" s="4">
        <v>350</v>
      </c>
      <c r="F91" s="1">
        <v>70</v>
      </c>
      <c r="G91" s="5">
        <v>5.4</v>
      </c>
      <c r="H91" s="4">
        <v>300</v>
      </c>
      <c r="I91" s="1">
        <v>30</v>
      </c>
      <c r="J91" s="5">
        <v>10</v>
      </c>
      <c r="K91" s="4">
        <v>500</v>
      </c>
      <c r="L91" s="1">
        <v>50</v>
      </c>
      <c r="M91" s="5">
        <v>0</v>
      </c>
      <c r="N91" s="4">
        <v>1500</v>
      </c>
      <c r="O91" s="1">
        <v>150</v>
      </c>
      <c r="P91" s="5">
        <v>10</v>
      </c>
      <c r="Q91" s="4">
        <v>250</v>
      </c>
      <c r="R91" s="1">
        <v>5</v>
      </c>
      <c r="S91" s="5">
        <v>4</v>
      </c>
      <c r="T91" s="4">
        <v>20</v>
      </c>
      <c r="U91" s="1">
        <v>0.4</v>
      </c>
      <c r="V91" s="5">
        <v>0.68</v>
      </c>
      <c r="W91" s="4">
        <v>100</v>
      </c>
      <c r="X91" s="5">
        <v>1</v>
      </c>
      <c r="Y91" s="4">
        <v>750</v>
      </c>
      <c r="Z91" s="5">
        <v>45</v>
      </c>
    </row>
    <row r="92" spans="1:26" x14ac:dyDescent="0.25">
      <c r="A92" s="2" t="s">
        <v>50</v>
      </c>
      <c r="B92" s="6" t="s">
        <v>230</v>
      </c>
      <c r="D92" s="6" t="str">
        <f>VLOOKUP(TRIM(A92),wikily_maps!A:O,15,FALSE)</f>
        <v>Astraeos, Crystal Isles, Extinction, Fjordur, Genesis 2, Genesis, Lost Island, Ragnarok, The Center, The Island, Valguero</v>
      </c>
      <c r="E92" s="4">
        <v>125</v>
      </c>
      <c r="F92" s="1">
        <v>25</v>
      </c>
      <c r="G92" s="5">
        <v>5.4</v>
      </c>
      <c r="H92" s="4">
        <v>150</v>
      </c>
      <c r="I92" s="1">
        <v>15</v>
      </c>
      <c r="J92" s="5">
        <v>10</v>
      </c>
      <c r="K92" s="4">
        <v>150</v>
      </c>
      <c r="L92" s="1">
        <v>15</v>
      </c>
      <c r="M92" s="5">
        <v>10</v>
      </c>
      <c r="N92" s="4">
        <v>900</v>
      </c>
      <c r="O92" s="1">
        <v>90</v>
      </c>
      <c r="P92" s="5">
        <v>10</v>
      </c>
      <c r="Q92" s="4">
        <v>50</v>
      </c>
      <c r="R92" s="1">
        <v>1</v>
      </c>
      <c r="S92" s="5">
        <v>4</v>
      </c>
      <c r="T92" s="4">
        <v>23</v>
      </c>
      <c r="U92" s="1">
        <v>1.1499999999999999</v>
      </c>
      <c r="V92" s="5">
        <v>1.7</v>
      </c>
      <c r="W92" s="4">
        <v>100</v>
      </c>
      <c r="X92" s="5">
        <v>1</v>
      </c>
      <c r="Y92" s="4">
        <v>100</v>
      </c>
      <c r="Z92" s="5">
        <v>6</v>
      </c>
    </row>
    <row r="93" spans="1:26" x14ac:dyDescent="0.25">
      <c r="A93" s="2" t="s">
        <v>51</v>
      </c>
      <c r="B93" s="6" t="s">
        <v>230</v>
      </c>
      <c r="D93" s="6" t="str">
        <f>VLOOKUP(TRIM(A93),wikily_maps!A:O,15,FALSE)</f>
        <v>Crystal Isles, Lost Island</v>
      </c>
      <c r="E93" s="4">
        <v>775</v>
      </c>
      <c r="F93" s="1">
        <v>155</v>
      </c>
      <c r="G93" s="5">
        <v>4.8600000000000003</v>
      </c>
      <c r="H93" s="4">
        <v>800</v>
      </c>
      <c r="I93" s="1">
        <v>80</v>
      </c>
      <c r="J93" s="5">
        <v>10</v>
      </c>
      <c r="K93" s="4">
        <v>150</v>
      </c>
      <c r="L93" s="1">
        <v>15</v>
      </c>
      <c r="M93" s="5">
        <v>10</v>
      </c>
      <c r="N93" s="4">
        <v>1200</v>
      </c>
      <c r="O93" s="1">
        <v>120</v>
      </c>
      <c r="P93" s="5">
        <v>10</v>
      </c>
      <c r="Q93" s="4">
        <v>350</v>
      </c>
      <c r="R93" s="1">
        <v>7</v>
      </c>
      <c r="S93" s="5">
        <v>4</v>
      </c>
      <c r="T93" s="4">
        <v>46</v>
      </c>
      <c r="U93" s="1">
        <v>2.2999999999999998</v>
      </c>
      <c r="V93" s="5">
        <v>1.7</v>
      </c>
      <c r="W93" s="4">
        <v>100</v>
      </c>
      <c r="X93" s="5">
        <v>1</v>
      </c>
      <c r="Y93" s="4">
        <v>600</v>
      </c>
      <c r="Z93" s="5">
        <v>36</v>
      </c>
    </row>
    <row r="94" spans="1:26" x14ac:dyDescent="0.25">
      <c r="A94" s="2" t="s">
        <v>217</v>
      </c>
      <c r="B94" s="6" t="s">
        <v>178</v>
      </c>
      <c r="C94" s="6" t="s">
        <v>718</v>
      </c>
      <c r="D94" s="6" t="s">
        <v>197</v>
      </c>
      <c r="E94" s="4">
        <v>375000</v>
      </c>
      <c r="F94" s="5">
        <v>0</v>
      </c>
      <c r="G94" s="5">
        <v>0</v>
      </c>
      <c r="H94" s="4">
        <v>2000</v>
      </c>
      <c r="I94" s="5">
        <v>0</v>
      </c>
      <c r="J94" s="5">
        <v>0</v>
      </c>
      <c r="K94" s="4">
        <v>2000</v>
      </c>
      <c r="L94" s="5">
        <v>0</v>
      </c>
      <c r="M94" s="5">
        <v>0</v>
      </c>
      <c r="N94" s="4">
        <v>2500</v>
      </c>
      <c r="O94" s="5">
        <v>0</v>
      </c>
      <c r="P94" s="5">
        <v>0</v>
      </c>
      <c r="Q94" s="4">
        <v>4000</v>
      </c>
      <c r="R94" s="5">
        <v>0</v>
      </c>
      <c r="S94" s="5">
        <v>0</v>
      </c>
      <c r="T94" s="4">
        <v>200</v>
      </c>
      <c r="U94" s="5">
        <v>0</v>
      </c>
      <c r="V94" s="5">
        <v>0</v>
      </c>
      <c r="W94" s="4">
        <v>100</v>
      </c>
      <c r="X94" s="5">
        <v>0</v>
      </c>
      <c r="Y94" s="4">
        <v>1000</v>
      </c>
      <c r="Z94" s="5">
        <v>0</v>
      </c>
    </row>
    <row r="95" spans="1:26" x14ac:dyDescent="0.25">
      <c r="A95" s="2" t="s">
        <v>217</v>
      </c>
      <c r="B95" s="6" t="s">
        <v>177</v>
      </c>
      <c r="C95" s="6" t="s">
        <v>719</v>
      </c>
      <c r="D95" s="6" t="s">
        <v>197</v>
      </c>
      <c r="E95" s="4">
        <v>600000</v>
      </c>
      <c r="F95" s="5">
        <v>0</v>
      </c>
      <c r="G95" s="5">
        <v>0</v>
      </c>
      <c r="H95" s="4">
        <v>2000</v>
      </c>
      <c r="I95" s="5">
        <v>0</v>
      </c>
      <c r="J95" s="5">
        <v>0</v>
      </c>
      <c r="K95" s="4">
        <v>2000</v>
      </c>
      <c r="L95" s="5">
        <v>0</v>
      </c>
      <c r="M95" s="5">
        <v>0</v>
      </c>
      <c r="N95" s="4">
        <v>2500</v>
      </c>
      <c r="O95" s="5">
        <v>0</v>
      </c>
      <c r="P95" s="5">
        <v>0</v>
      </c>
      <c r="Q95" s="4">
        <v>4000</v>
      </c>
      <c r="R95" s="5">
        <v>0</v>
      </c>
      <c r="S95" s="5">
        <v>0</v>
      </c>
      <c r="T95" s="4">
        <v>200</v>
      </c>
      <c r="U95" s="5">
        <v>0</v>
      </c>
      <c r="V95" s="5">
        <v>0</v>
      </c>
      <c r="W95" s="4">
        <v>100</v>
      </c>
      <c r="X95" s="5">
        <v>0</v>
      </c>
      <c r="Y95" s="4">
        <v>1000</v>
      </c>
      <c r="Z95" s="5">
        <v>0</v>
      </c>
    </row>
    <row r="96" spans="1:26" x14ac:dyDescent="0.25">
      <c r="A96" s="2" t="s">
        <v>217</v>
      </c>
      <c r="B96" s="6" t="s">
        <v>176</v>
      </c>
      <c r="C96" s="6" t="s">
        <v>720</v>
      </c>
      <c r="D96" s="6" t="s">
        <v>197</v>
      </c>
      <c r="E96" s="4">
        <v>825000</v>
      </c>
      <c r="F96" s="5">
        <v>0</v>
      </c>
      <c r="G96" s="5">
        <v>0</v>
      </c>
      <c r="H96" s="4">
        <v>2000</v>
      </c>
      <c r="I96" s="5">
        <v>0</v>
      </c>
      <c r="J96" s="5">
        <v>0</v>
      </c>
      <c r="K96" s="4">
        <v>2000</v>
      </c>
      <c r="L96" s="5">
        <v>0</v>
      </c>
      <c r="M96" s="5">
        <v>0</v>
      </c>
      <c r="N96" s="4">
        <v>2500</v>
      </c>
      <c r="O96" s="5">
        <v>0</v>
      </c>
      <c r="P96" s="5">
        <v>0</v>
      </c>
      <c r="Q96" s="4">
        <v>4000</v>
      </c>
      <c r="R96" s="5">
        <v>0</v>
      </c>
      <c r="S96" s="5">
        <v>0</v>
      </c>
      <c r="T96" s="4">
        <v>200</v>
      </c>
      <c r="U96" s="5">
        <v>0</v>
      </c>
      <c r="V96" s="5">
        <v>0</v>
      </c>
      <c r="W96" s="4">
        <v>100</v>
      </c>
      <c r="X96" s="5">
        <v>0</v>
      </c>
      <c r="Y96" s="4">
        <v>1000</v>
      </c>
      <c r="Z96" s="5">
        <v>0</v>
      </c>
    </row>
    <row r="97" spans="1:26" x14ac:dyDescent="0.25">
      <c r="A97" s="2" t="s">
        <v>52</v>
      </c>
      <c r="B97" s="6" t="s">
        <v>230</v>
      </c>
      <c r="D97" s="6" t="str">
        <f>VLOOKUP(TRIM(A97),wikily_maps!A:O,15,FALSE)</f>
        <v>Astraeos, Crystal Isles, Extinction, Fjordur, Genesis 2, Genesis, Lost Island, Ragnarok, The Center, The Island, Valguero</v>
      </c>
      <c r="E97" s="4">
        <v>250</v>
      </c>
      <c r="F97" s="1">
        <v>50</v>
      </c>
      <c r="G97" s="5">
        <v>5.4</v>
      </c>
      <c r="H97" s="4">
        <v>165</v>
      </c>
      <c r="I97" s="1">
        <v>16.5</v>
      </c>
      <c r="J97" s="5">
        <v>10</v>
      </c>
      <c r="K97" s="4">
        <v>1050</v>
      </c>
      <c r="L97" s="1">
        <v>105</v>
      </c>
      <c r="M97" s="5">
        <v>10</v>
      </c>
      <c r="N97" s="4">
        <v>1500</v>
      </c>
      <c r="O97" s="1">
        <v>150</v>
      </c>
      <c r="P97" s="5">
        <v>10</v>
      </c>
      <c r="Q97" s="4">
        <v>150</v>
      </c>
      <c r="R97" s="1">
        <v>3</v>
      </c>
      <c r="S97" s="5">
        <v>4</v>
      </c>
      <c r="T97" s="4">
        <v>10</v>
      </c>
      <c r="U97" s="1">
        <v>0.5</v>
      </c>
      <c r="V97" s="5">
        <v>1.7</v>
      </c>
      <c r="W97" s="4">
        <v>100</v>
      </c>
      <c r="X97" s="5">
        <v>1</v>
      </c>
      <c r="Y97" s="4">
        <v>220</v>
      </c>
      <c r="Z97" s="5">
        <v>13.2</v>
      </c>
    </row>
    <row r="98" spans="1:26" x14ac:dyDescent="0.25">
      <c r="A98" s="2" t="s">
        <v>53</v>
      </c>
      <c r="B98" s="6" t="s">
        <v>230</v>
      </c>
      <c r="D98" s="6" t="str">
        <f>VLOOKUP(TRIM(A98),wikily_maps!A:O,15,FALSE)</f>
        <v>Astraeos, Crystal Isles, Extinction, Fjordur, Genesis 2, Lost Island, Ragnarok, The Center, The Island, Valguero</v>
      </c>
      <c r="E98" s="4">
        <v>1700</v>
      </c>
      <c r="F98" s="1">
        <v>340</v>
      </c>
      <c r="G98" s="5">
        <v>5.4</v>
      </c>
      <c r="H98" s="4">
        <v>550</v>
      </c>
      <c r="I98" s="1">
        <v>55</v>
      </c>
      <c r="J98" s="5">
        <v>10</v>
      </c>
      <c r="K98" s="4">
        <v>300</v>
      </c>
      <c r="L98" s="1">
        <v>30</v>
      </c>
      <c r="M98" s="5">
        <v>10</v>
      </c>
      <c r="N98" s="4">
        <v>10000</v>
      </c>
      <c r="O98" s="1">
        <v>1000</v>
      </c>
      <c r="P98" s="5">
        <v>10</v>
      </c>
      <c r="Q98" s="4">
        <v>800</v>
      </c>
      <c r="R98" s="1">
        <v>16</v>
      </c>
      <c r="S98" s="5">
        <v>4</v>
      </c>
      <c r="T98" s="4">
        <v>60</v>
      </c>
      <c r="U98" s="1">
        <v>3</v>
      </c>
      <c r="V98" s="5">
        <v>1.7</v>
      </c>
      <c r="W98" s="4">
        <v>100</v>
      </c>
      <c r="X98" s="5">
        <v>1</v>
      </c>
      <c r="Y98" s="4">
        <v>3000</v>
      </c>
      <c r="Z98" s="5">
        <v>180</v>
      </c>
    </row>
    <row r="99" spans="1:26" x14ac:dyDescent="0.25">
      <c r="A99" s="2" t="s">
        <v>54</v>
      </c>
      <c r="B99" s="6" t="s">
        <v>230</v>
      </c>
      <c r="D99" s="6" t="str">
        <f>VLOOKUP(TRIM(A99),wikily_maps!A:O,15,FALSE)</f>
        <v>Astraeos, Crystal Isles, Extinction, Fjordur, Genesis 2, Genesis, Lost Island, Ragnarok, The Center, The Island, Valguero</v>
      </c>
      <c r="E99" s="4">
        <v>400</v>
      </c>
      <c r="F99" s="1">
        <v>80</v>
      </c>
      <c r="G99" s="5">
        <v>5.4</v>
      </c>
      <c r="H99" s="4">
        <v>500</v>
      </c>
      <c r="I99" s="1">
        <v>50</v>
      </c>
      <c r="J99" s="5">
        <v>10</v>
      </c>
      <c r="K99" s="4">
        <v>270</v>
      </c>
      <c r="L99" s="1">
        <v>27</v>
      </c>
      <c r="M99" s="5">
        <v>10</v>
      </c>
      <c r="N99" s="4">
        <v>3000</v>
      </c>
      <c r="O99" s="1">
        <v>300</v>
      </c>
      <c r="P99" s="5">
        <v>10</v>
      </c>
      <c r="Q99" s="4">
        <v>650</v>
      </c>
      <c r="R99" s="1">
        <v>13</v>
      </c>
      <c r="S99" s="5">
        <v>4</v>
      </c>
      <c r="T99" s="4">
        <v>50</v>
      </c>
      <c r="U99" s="1">
        <v>2.5</v>
      </c>
      <c r="V99" s="5">
        <v>1.7</v>
      </c>
      <c r="W99" s="4">
        <v>100</v>
      </c>
      <c r="X99" s="5">
        <v>1</v>
      </c>
      <c r="Y99" s="4">
        <v>1000</v>
      </c>
      <c r="Z99" s="5">
        <v>60</v>
      </c>
    </row>
    <row r="100" spans="1:26" x14ac:dyDescent="0.25">
      <c r="A100" s="2" t="s">
        <v>55</v>
      </c>
      <c r="B100" s="6" t="s">
        <v>230</v>
      </c>
      <c r="D100" s="6" t="str">
        <f>VLOOKUP(TRIM(A100),wikily_maps!A:O,15,FALSE)</f>
        <v>Astraeos, Crystal Isles, Extinction, Fjordur, Genesis, Lost Island, Ragnarok, Scorched Earth, The Center, The Island, Valguero</v>
      </c>
      <c r="E100" s="4">
        <v>330</v>
      </c>
      <c r="F100" s="1">
        <v>66</v>
      </c>
      <c r="G100" s="5">
        <v>5.4</v>
      </c>
      <c r="H100" s="4">
        <v>260</v>
      </c>
      <c r="I100" s="1">
        <v>26</v>
      </c>
      <c r="J100" s="5">
        <v>10</v>
      </c>
      <c r="K100" s="4">
        <v>150</v>
      </c>
      <c r="L100" s="1">
        <v>15</v>
      </c>
      <c r="M100" s="5">
        <v>10</v>
      </c>
      <c r="N100" s="4">
        <v>1200</v>
      </c>
      <c r="O100" s="1">
        <v>120</v>
      </c>
      <c r="P100" s="5">
        <v>10</v>
      </c>
      <c r="Q100" s="4">
        <v>170</v>
      </c>
      <c r="R100" s="1">
        <v>3.4</v>
      </c>
      <c r="S100" s="5">
        <v>4</v>
      </c>
      <c r="T100" s="4">
        <v>33</v>
      </c>
      <c r="U100" s="1">
        <v>1.65</v>
      </c>
      <c r="V100" s="5">
        <v>1.7</v>
      </c>
      <c r="W100" s="4">
        <v>100</v>
      </c>
      <c r="X100" s="5">
        <v>1</v>
      </c>
      <c r="Y100" s="4">
        <v>450</v>
      </c>
      <c r="Z100" s="5">
        <v>27</v>
      </c>
    </row>
    <row r="101" spans="1:26" x14ac:dyDescent="0.25">
      <c r="A101" s="2" t="s">
        <v>56</v>
      </c>
      <c r="B101" s="6" t="s">
        <v>230</v>
      </c>
      <c r="D101" s="6" t="str">
        <f>VLOOKUP(TRIM(A101),wikily_maps!A:O,15,FALSE)</f>
        <v>Astraeos, Crystal Isles, Extinction, Fjordur, Genesis 2, Genesis, Lost Island, Ragnarok, The Center, The Island, Valguero</v>
      </c>
      <c r="E101" s="4">
        <v>40</v>
      </c>
      <c r="F101" s="1">
        <v>8</v>
      </c>
      <c r="G101" s="5">
        <v>5.4</v>
      </c>
      <c r="H101" s="4">
        <v>100</v>
      </c>
      <c r="I101" s="1">
        <v>10</v>
      </c>
      <c r="J101" s="5">
        <v>10</v>
      </c>
      <c r="K101" s="4">
        <v>150</v>
      </c>
      <c r="L101" s="1">
        <v>15</v>
      </c>
      <c r="M101" s="5">
        <v>10</v>
      </c>
      <c r="N101" s="4">
        <v>450</v>
      </c>
      <c r="O101" s="1">
        <v>45</v>
      </c>
      <c r="P101" s="5">
        <v>10</v>
      </c>
      <c r="Q101" s="4">
        <v>50</v>
      </c>
      <c r="R101" s="1">
        <v>1</v>
      </c>
      <c r="S101" s="5">
        <v>4</v>
      </c>
      <c r="T101" s="4">
        <v>5</v>
      </c>
      <c r="U101" s="1">
        <v>0.25</v>
      </c>
      <c r="V101" s="5">
        <v>1.7</v>
      </c>
      <c r="W101" s="4">
        <v>100</v>
      </c>
      <c r="X101" s="5">
        <v>3</v>
      </c>
      <c r="Y101" s="4">
        <v>30</v>
      </c>
      <c r="Z101" s="5">
        <v>1.8</v>
      </c>
    </row>
    <row r="102" spans="1:26" x14ac:dyDescent="0.25">
      <c r="A102" s="2" t="s">
        <v>57</v>
      </c>
      <c r="B102" s="6" t="s">
        <v>230</v>
      </c>
      <c r="D102" s="6" t="str">
        <f>VLOOKUP(TRIM(A102),wikily_maps!A:O,15,FALSE)</f>
        <v>Astraeos, Crystal Isles, Extinction, Fjordur, Genesis 2, Genesis, Lost Island, Ragnarok, Scorched Earth, The Center, The Island, Valguero</v>
      </c>
      <c r="E102" s="4">
        <v>850</v>
      </c>
      <c r="F102" s="1">
        <v>170</v>
      </c>
      <c r="G102" s="5">
        <v>5.4</v>
      </c>
      <c r="H102" s="4">
        <v>300</v>
      </c>
      <c r="I102" s="1">
        <v>30</v>
      </c>
      <c r="J102" s="5">
        <v>10</v>
      </c>
      <c r="K102" s="4">
        <v>150</v>
      </c>
      <c r="L102" s="1">
        <v>15</v>
      </c>
      <c r="M102" s="5">
        <v>10</v>
      </c>
      <c r="N102" s="4">
        <v>3000</v>
      </c>
      <c r="O102" s="1">
        <v>300</v>
      </c>
      <c r="P102" s="5">
        <v>10</v>
      </c>
      <c r="Q102" s="4">
        <v>250</v>
      </c>
      <c r="R102" s="1">
        <v>5</v>
      </c>
      <c r="S102" s="5">
        <v>4</v>
      </c>
      <c r="T102" s="4">
        <v>32</v>
      </c>
      <c r="U102" s="1">
        <v>1.6</v>
      </c>
      <c r="V102" s="5">
        <v>1.7</v>
      </c>
      <c r="W102" s="4">
        <v>100</v>
      </c>
      <c r="X102" s="5">
        <v>2</v>
      </c>
      <c r="Y102" s="4">
        <v>800</v>
      </c>
      <c r="Z102" s="5">
        <v>48</v>
      </c>
    </row>
    <row r="103" spans="1:26" x14ac:dyDescent="0.25">
      <c r="A103" s="2" t="s">
        <v>218</v>
      </c>
      <c r="B103" s="6" t="s">
        <v>178</v>
      </c>
      <c r="C103" s="6" t="s">
        <v>199</v>
      </c>
      <c r="D103" s="6" t="s">
        <v>182</v>
      </c>
      <c r="E103" s="4">
        <v>432000</v>
      </c>
      <c r="F103" s="5">
        <v>0</v>
      </c>
      <c r="G103" s="5">
        <v>0</v>
      </c>
      <c r="H103" s="4">
        <v>10000</v>
      </c>
      <c r="I103" s="5">
        <v>0</v>
      </c>
      <c r="J103" s="5">
        <v>0</v>
      </c>
      <c r="K103" s="4">
        <v>0</v>
      </c>
      <c r="L103" s="5">
        <v>0</v>
      </c>
      <c r="M103" s="5">
        <v>0</v>
      </c>
      <c r="N103" s="4">
        <v>2600</v>
      </c>
      <c r="O103" s="5">
        <v>0</v>
      </c>
      <c r="P103" s="5">
        <v>0</v>
      </c>
      <c r="Q103" s="4">
        <v>4000</v>
      </c>
      <c r="R103" s="5">
        <v>0</v>
      </c>
      <c r="S103" s="5">
        <v>0</v>
      </c>
      <c r="T103" s="4">
        <v>500</v>
      </c>
      <c r="U103" s="5">
        <v>0</v>
      </c>
      <c r="V103" s="5">
        <v>0</v>
      </c>
      <c r="W103" s="4">
        <v>100</v>
      </c>
      <c r="X103" s="5">
        <v>0</v>
      </c>
      <c r="Y103" s="4">
        <v>350</v>
      </c>
      <c r="Z103" s="5">
        <v>0</v>
      </c>
    </row>
    <row r="104" spans="1:26" x14ac:dyDescent="0.25">
      <c r="A104" s="2" t="s">
        <v>218</v>
      </c>
      <c r="B104" s="6" t="s">
        <v>177</v>
      </c>
      <c r="C104" s="6" t="s">
        <v>200</v>
      </c>
      <c r="D104" s="6" t="s">
        <v>182</v>
      </c>
      <c r="E104" s="4">
        <v>864000</v>
      </c>
      <c r="F104" s="5">
        <v>0</v>
      </c>
      <c r="G104" s="5">
        <v>0</v>
      </c>
      <c r="H104" s="4">
        <v>10000</v>
      </c>
      <c r="I104" s="5">
        <v>0</v>
      </c>
      <c r="J104" s="5">
        <v>0</v>
      </c>
      <c r="K104" s="4">
        <v>0</v>
      </c>
      <c r="L104" s="5">
        <v>0</v>
      </c>
      <c r="M104" s="5">
        <v>0</v>
      </c>
      <c r="N104" s="4">
        <v>2600</v>
      </c>
      <c r="O104" s="5">
        <v>0</v>
      </c>
      <c r="P104" s="5">
        <v>0</v>
      </c>
      <c r="Q104" s="4">
        <v>4000</v>
      </c>
      <c r="R104" s="5">
        <v>0</v>
      </c>
      <c r="S104" s="5">
        <v>0</v>
      </c>
      <c r="T104" s="4">
        <v>1000</v>
      </c>
      <c r="U104" s="5">
        <v>0</v>
      </c>
      <c r="V104" s="5">
        <v>0</v>
      </c>
      <c r="W104" s="4">
        <v>100</v>
      </c>
      <c r="X104" s="5">
        <v>0</v>
      </c>
      <c r="Y104" s="4">
        <v>350</v>
      </c>
      <c r="Z104" s="5">
        <v>0</v>
      </c>
    </row>
    <row r="105" spans="1:26" x14ac:dyDescent="0.25">
      <c r="A105" s="2" t="s">
        <v>218</v>
      </c>
      <c r="B105" s="6" t="s">
        <v>176</v>
      </c>
      <c r="C105" s="6" t="s">
        <v>198</v>
      </c>
      <c r="D105" s="6" t="s">
        <v>182</v>
      </c>
      <c r="E105" s="4">
        <v>972000</v>
      </c>
      <c r="F105" s="5">
        <v>0</v>
      </c>
      <c r="G105" s="5">
        <v>0</v>
      </c>
      <c r="H105" s="4">
        <v>10000</v>
      </c>
      <c r="I105" s="5">
        <v>0</v>
      </c>
      <c r="J105" s="5">
        <v>0</v>
      </c>
      <c r="K105" s="4">
        <v>0</v>
      </c>
      <c r="L105" s="5">
        <v>0</v>
      </c>
      <c r="M105" s="5">
        <v>0</v>
      </c>
      <c r="N105" s="4">
        <v>2600</v>
      </c>
      <c r="O105" s="5">
        <v>0</v>
      </c>
      <c r="P105" s="5">
        <v>0</v>
      </c>
      <c r="Q105" s="4">
        <v>4000</v>
      </c>
      <c r="R105" s="5">
        <v>0</v>
      </c>
      <c r="S105" s="5">
        <v>0</v>
      </c>
      <c r="T105" s="4">
        <v>1500</v>
      </c>
      <c r="U105" s="5">
        <v>0</v>
      </c>
      <c r="V105" s="5">
        <v>0</v>
      </c>
      <c r="W105" s="4">
        <v>100</v>
      </c>
      <c r="X105" s="5">
        <v>0</v>
      </c>
      <c r="Y105" s="4">
        <v>350</v>
      </c>
      <c r="Z105" s="5">
        <v>0</v>
      </c>
    </row>
    <row r="106" spans="1:26" x14ac:dyDescent="0.25">
      <c r="A106" s="2" t="s">
        <v>58</v>
      </c>
      <c r="B106" s="6" t="s">
        <v>692</v>
      </c>
      <c r="D106" s="20" t="s">
        <v>686</v>
      </c>
      <c r="E106" s="4">
        <v>150</v>
      </c>
      <c r="F106" s="1">
        <v>30</v>
      </c>
      <c r="G106" s="5">
        <v>5.4</v>
      </c>
      <c r="H106" s="4">
        <v>150</v>
      </c>
      <c r="I106" s="1">
        <v>15</v>
      </c>
      <c r="J106" s="5">
        <v>10</v>
      </c>
      <c r="K106" s="4">
        <v>150</v>
      </c>
      <c r="L106" s="1">
        <v>15</v>
      </c>
      <c r="M106" s="5">
        <v>10</v>
      </c>
      <c r="N106" s="4">
        <v>1000</v>
      </c>
      <c r="O106" s="1">
        <v>100</v>
      </c>
      <c r="P106" s="5">
        <v>10</v>
      </c>
      <c r="Q106" s="4">
        <v>65</v>
      </c>
      <c r="R106" s="1">
        <v>1.3</v>
      </c>
      <c r="S106" s="5">
        <v>4</v>
      </c>
      <c r="T106" s="4">
        <v>10</v>
      </c>
      <c r="U106" s="1">
        <v>0.5</v>
      </c>
      <c r="V106" s="5">
        <v>1.7</v>
      </c>
      <c r="W106" s="4">
        <v>100</v>
      </c>
      <c r="X106" s="5">
        <v>2.5</v>
      </c>
      <c r="Y106" s="4">
        <v>100</v>
      </c>
      <c r="Z106" s="5">
        <v>6</v>
      </c>
    </row>
    <row r="107" spans="1:26" x14ac:dyDescent="0.25">
      <c r="A107" s="2" t="s">
        <v>58</v>
      </c>
      <c r="B107" s="6" t="s">
        <v>693</v>
      </c>
      <c r="D107" s="20" t="s">
        <v>686</v>
      </c>
      <c r="E107" s="4">
        <v>150</v>
      </c>
      <c r="F107" s="1">
        <v>30</v>
      </c>
      <c r="G107" s="5">
        <v>5.4</v>
      </c>
      <c r="H107" s="4">
        <v>150</v>
      </c>
      <c r="I107" s="1">
        <v>15</v>
      </c>
      <c r="J107" s="5">
        <v>10</v>
      </c>
      <c r="K107" s="4">
        <v>150</v>
      </c>
      <c r="L107" s="1">
        <v>15</v>
      </c>
      <c r="M107" s="5">
        <v>10</v>
      </c>
      <c r="N107" s="4">
        <v>1000</v>
      </c>
      <c r="O107" s="1">
        <v>100</v>
      </c>
      <c r="P107" s="5">
        <v>10</v>
      </c>
      <c r="Q107" s="4">
        <v>65</v>
      </c>
      <c r="R107" s="1">
        <v>1.3</v>
      </c>
      <c r="S107" s="5">
        <v>4</v>
      </c>
      <c r="T107" s="4">
        <v>10</v>
      </c>
      <c r="U107" s="1">
        <v>0.5</v>
      </c>
      <c r="V107" s="5">
        <v>1.7</v>
      </c>
      <c r="W107" s="4">
        <v>100</v>
      </c>
      <c r="X107" s="5">
        <v>2.5</v>
      </c>
      <c r="Y107" s="4">
        <v>100</v>
      </c>
      <c r="Z107" s="5">
        <v>6</v>
      </c>
    </row>
    <row r="108" spans="1:26" x14ac:dyDescent="0.25">
      <c r="A108" s="2" t="s">
        <v>58</v>
      </c>
      <c r="B108" s="6" t="s">
        <v>694</v>
      </c>
      <c r="D108" s="20" t="s">
        <v>686</v>
      </c>
      <c r="E108" s="4">
        <v>150</v>
      </c>
      <c r="F108" s="1">
        <v>30</v>
      </c>
      <c r="G108" s="5">
        <v>5.4</v>
      </c>
      <c r="H108" s="4">
        <v>150</v>
      </c>
      <c r="I108" s="1">
        <v>15</v>
      </c>
      <c r="J108" s="5">
        <v>10</v>
      </c>
      <c r="K108" s="4">
        <v>150</v>
      </c>
      <c r="L108" s="1">
        <v>15</v>
      </c>
      <c r="M108" s="5">
        <v>10</v>
      </c>
      <c r="N108" s="4">
        <v>1000</v>
      </c>
      <c r="O108" s="1">
        <v>100</v>
      </c>
      <c r="P108" s="5">
        <v>10</v>
      </c>
      <c r="Q108" s="4">
        <v>65</v>
      </c>
      <c r="R108" s="1">
        <v>1.3</v>
      </c>
      <c r="S108" s="5">
        <v>4</v>
      </c>
      <c r="T108" s="4">
        <v>10</v>
      </c>
      <c r="U108" s="1">
        <v>0.5</v>
      </c>
      <c r="V108" s="5">
        <v>1.7</v>
      </c>
      <c r="W108" s="4">
        <v>100</v>
      </c>
      <c r="X108" s="5">
        <v>2.5</v>
      </c>
      <c r="Y108" s="4">
        <v>100</v>
      </c>
      <c r="Z108" s="5">
        <v>6</v>
      </c>
    </row>
    <row r="109" spans="1:26" x14ac:dyDescent="0.25">
      <c r="A109" s="2" t="s">
        <v>58</v>
      </c>
      <c r="B109" s="6" t="s">
        <v>695</v>
      </c>
      <c r="D109" s="20" t="s">
        <v>686</v>
      </c>
      <c r="E109" s="4">
        <v>150</v>
      </c>
      <c r="F109" s="1">
        <v>30</v>
      </c>
      <c r="G109" s="5">
        <v>5.4</v>
      </c>
      <c r="H109" s="4">
        <v>150</v>
      </c>
      <c r="I109" s="1">
        <v>15</v>
      </c>
      <c r="J109" s="5">
        <v>10</v>
      </c>
      <c r="K109" s="4">
        <v>150</v>
      </c>
      <c r="L109" s="1">
        <v>15</v>
      </c>
      <c r="M109" s="5">
        <v>10</v>
      </c>
      <c r="N109" s="4">
        <v>1000</v>
      </c>
      <c r="O109" s="1">
        <v>100</v>
      </c>
      <c r="P109" s="5">
        <v>10</v>
      </c>
      <c r="Q109" s="4">
        <v>65</v>
      </c>
      <c r="R109" s="1">
        <v>1.3</v>
      </c>
      <c r="S109" s="5">
        <v>4</v>
      </c>
      <c r="T109" s="4">
        <v>10</v>
      </c>
      <c r="U109" s="1">
        <v>0.5</v>
      </c>
      <c r="V109" s="5">
        <v>1.7</v>
      </c>
      <c r="W109" s="4">
        <v>100</v>
      </c>
      <c r="X109" s="5">
        <v>2.5</v>
      </c>
      <c r="Y109" s="4">
        <v>100</v>
      </c>
      <c r="Z109" s="5">
        <v>6</v>
      </c>
    </row>
    <row r="110" spans="1:26" x14ac:dyDescent="0.25">
      <c r="A110" s="2" t="s">
        <v>59</v>
      </c>
      <c r="B110" s="6" t="s">
        <v>230</v>
      </c>
      <c r="D110" s="6" t="str">
        <f>VLOOKUP(TRIM(A110),wikily_maps!A:O,15,FALSE)</f>
        <v>Astraeos, Extinction, Ragnarok, Scorched Earth, The Center, Valguero</v>
      </c>
      <c r="E110" s="4">
        <v>1000</v>
      </c>
      <c r="F110" s="1">
        <v>200</v>
      </c>
      <c r="G110" s="5">
        <v>5.4</v>
      </c>
      <c r="H110" s="4">
        <v>600</v>
      </c>
      <c r="I110" s="1">
        <v>60</v>
      </c>
      <c r="J110" s="5">
        <v>10</v>
      </c>
      <c r="K110" s="4">
        <v>150</v>
      </c>
      <c r="L110" s="1">
        <v>15</v>
      </c>
      <c r="M110" s="5">
        <v>10</v>
      </c>
      <c r="N110" s="4">
        <v>1750</v>
      </c>
      <c r="O110" s="1">
        <v>175</v>
      </c>
      <c r="P110" s="5">
        <v>10</v>
      </c>
      <c r="Q110" s="4">
        <v>450</v>
      </c>
      <c r="R110" s="1">
        <v>9</v>
      </c>
      <c r="S110" s="5">
        <v>4</v>
      </c>
      <c r="T110" s="4">
        <v>23</v>
      </c>
      <c r="U110" s="1">
        <v>1.1499999999999999</v>
      </c>
      <c r="V110" s="5">
        <v>1.7</v>
      </c>
      <c r="W110" s="4">
        <v>100</v>
      </c>
      <c r="X110" s="5">
        <v>0</v>
      </c>
      <c r="Y110" s="4">
        <v>600</v>
      </c>
      <c r="Z110" s="5">
        <v>36</v>
      </c>
    </row>
    <row r="111" spans="1:26" x14ac:dyDescent="0.25">
      <c r="A111" s="2" t="s">
        <v>60</v>
      </c>
      <c r="B111" s="6" t="s">
        <v>230</v>
      </c>
      <c r="D111" s="6" t="str">
        <f>VLOOKUP(TRIM(A111),wikily_maps!A:O,15,FALSE)</f>
        <v>Astraeos, Extinction</v>
      </c>
      <c r="E111" s="4">
        <v>100000</v>
      </c>
      <c r="F111" s="1">
        <v>3200</v>
      </c>
      <c r="G111" s="5">
        <v>0.2535</v>
      </c>
      <c r="H111" s="4">
        <v>300</v>
      </c>
      <c r="I111" s="1">
        <v>30</v>
      </c>
      <c r="J111" s="5">
        <v>10</v>
      </c>
      <c r="K111" s="4">
        <v>150</v>
      </c>
      <c r="L111" s="1">
        <v>15</v>
      </c>
      <c r="M111" s="5">
        <v>10</v>
      </c>
      <c r="N111" s="4">
        <v>13500</v>
      </c>
      <c r="O111" s="1">
        <v>1350</v>
      </c>
      <c r="P111" s="5">
        <v>10</v>
      </c>
      <c r="Q111" s="4">
        <v>3000</v>
      </c>
      <c r="R111" s="1">
        <v>60</v>
      </c>
      <c r="S111" s="5">
        <v>4</v>
      </c>
      <c r="T111" s="4">
        <v>1080</v>
      </c>
      <c r="U111" s="1">
        <v>36.18</v>
      </c>
      <c r="V111" s="5">
        <v>1.25</v>
      </c>
      <c r="W111" s="4">
        <v>100</v>
      </c>
      <c r="X111" s="5">
        <v>0</v>
      </c>
      <c r="Y111" s="4">
        <v>3250</v>
      </c>
      <c r="Z111" s="5">
        <v>195</v>
      </c>
    </row>
    <row r="112" spans="1:26" x14ac:dyDescent="0.25">
      <c r="A112" s="2" t="s">
        <v>61</v>
      </c>
      <c r="B112" s="6" t="s">
        <v>230</v>
      </c>
      <c r="D112" s="6" t="str">
        <f>VLOOKUP(TRIM(A112),wikily_maps!A:O,15,FALSE)</f>
        <v>Astraeos, Crystal Isles, Extinction, Fjordur, Genesis 2, Genesis, Lost Island, Ragnarok, Scorched Earth, The Center, The Island, Valguero</v>
      </c>
      <c r="E112" s="4">
        <v>200</v>
      </c>
      <c r="F112" s="1">
        <v>40</v>
      </c>
      <c r="G112" s="5">
        <v>2.7</v>
      </c>
      <c r="H112" s="4">
        <v>100</v>
      </c>
      <c r="I112" s="1">
        <v>10</v>
      </c>
      <c r="J112" s="5">
        <v>10</v>
      </c>
      <c r="K112" s="4">
        <v>150</v>
      </c>
      <c r="L112" s="1">
        <v>15</v>
      </c>
      <c r="M112" s="5">
        <v>10</v>
      </c>
      <c r="N112" s="4">
        <v>900</v>
      </c>
      <c r="O112" s="1">
        <v>90</v>
      </c>
      <c r="P112" s="5">
        <v>10</v>
      </c>
      <c r="Q112" s="4">
        <v>5</v>
      </c>
      <c r="R112" s="1">
        <v>0.1</v>
      </c>
      <c r="S112" s="5">
        <v>8</v>
      </c>
      <c r="T112" s="4">
        <v>5</v>
      </c>
      <c r="U112" s="1">
        <v>0.25</v>
      </c>
      <c r="V112" s="5">
        <v>1.7</v>
      </c>
      <c r="W112" s="4">
        <v>100</v>
      </c>
      <c r="X112" s="5">
        <v>1</v>
      </c>
      <c r="Y112" s="4">
        <v>200</v>
      </c>
      <c r="Z112" s="5">
        <v>12</v>
      </c>
    </row>
    <row r="113" spans="1:26" x14ac:dyDescent="0.25">
      <c r="A113" s="2" t="s">
        <v>62</v>
      </c>
      <c r="B113" s="6" t="s">
        <v>230</v>
      </c>
      <c r="D113" s="6" t="str">
        <f>VLOOKUP(TRIM(A113),wikily_maps!A:O,15,FALSE)</f>
        <v>Astraeos, Crystal Isles, Fjordur, Genesis 2, Lost Island, Ragnarok, The Center, The Island, Valguero</v>
      </c>
      <c r="E113" s="4">
        <v>710</v>
      </c>
      <c r="F113" s="1">
        <v>142</v>
      </c>
      <c r="G113" s="5">
        <v>5.4</v>
      </c>
      <c r="H113" s="4">
        <v>200</v>
      </c>
      <c r="I113" s="1">
        <v>20</v>
      </c>
      <c r="J113" s="5">
        <v>10</v>
      </c>
      <c r="K113" s="4">
        <v>150</v>
      </c>
      <c r="L113" s="1">
        <v>15</v>
      </c>
      <c r="M113" s="5">
        <v>10</v>
      </c>
      <c r="N113" s="4">
        <v>2000</v>
      </c>
      <c r="O113" s="1">
        <v>200</v>
      </c>
      <c r="P113" s="5">
        <v>10</v>
      </c>
      <c r="Q113" s="4">
        <v>910</v>
      </c>
      <c r="R113" s="1">
        <v>18.2</v>
      </c>
      <c r="S113" s="5">
        <v>4</v>
      </c>
      <c r="T113" s="4">
        <v>60</v>
      </c>
      <c r="U113" s="1">
        <v>3</v>
      </c>
      <c r="V113" s="5">
        <v>1.7</v>
      </c>
      <c r="W113" s="4">
        <v>100</v>
      </c>
      <c r="X113" s="5">
        <v>1</v>
      </c>
      <c r="Y113" s="4">
        <v>1150</v>
      </c>
      <c r="Z113" s="5">
        <v>69</v>
      </c>
    </row>
    <row r="114" spans="1:26" x14ac:dyDescent="0.25">
      <c r="A114" s="2" t="s">
        <v>63</v>
      </c>
      <c r="B114" s="6" t="s">
        <v>230</v>
      </c>
      <c r="D114" s="6" t="str">
        <f>VLOOKUP(TRIM(A114),wikily_maps!A:O,15,FALSE)</f>
        <v>Astraeos, Crystal Isles, Fjordur, Genesis 2, Genesis, Lost Island, Ragnarok, Scorched Earth, The Center, The Island, Valguero</v>
      </c>
      <c r="E114" s="4">
        <v>180</v>
      </c>
      <c r="F114" s="1">
        <v>36</v>
      </c>
      <c r="G114" s="5">
        <v>5.4</v>
      </c>
      <c r="H114" s="4">
        <v>165</v>
      </c>
      <c r="I114" s="1">
        <v>16.5</v>
      </c>
      <c r="J114" s="5">
        <v>10</v>
      </c>
      <c r="K114" s="4">
        <v>1050</v>
      </c>
      <c r="L114" s="1">
        <v>105</v>
      </c>
      <c r="M114" s="5">
        <v>10</v>
      </c>
      <c r="N114" s="4">
        <v>1500</v>
      </c>
      <c r="O114" s="1">
        <v>150</v>
      </c>
      <c r="P114" s="5">
        <v>10</v>
      </c>
      <c r="Q114" s="4">
        <v>150</v>
      </c>
      <c r="R114" s="1">
        <v>3</v>
      </c>
      <c r="S114" s="5">
        <v>4</v>
      </c>
      <c r="T114" s="4">
        <v>3</v>
      </c>
      <c r="U114" s="1">
        <v>0.15</v>
      </c>
      <c r="V114" s="5">
        <v>1.7</v>
      </c>
      <c r="W114" s="4">
        <v>100</v>
      </c>
      <c r="X114" s="5">
        <v>1</v>
      </c>
      <c r="Y114" s="4">
        <v>175</v>
      </c>
      <c r="Z114" s="5">
        <v>10.5</v>
      </c>
    </row>
    <row r="115" spans="1:26" x14ac:dyDescent="0.25">
      <c r="A115" s="2" t="s">
        <v>64</v>
      </c>
      <c r="B115" s="6" t="s">
        <v>230</v>
      </c>
      <c r="D115" s="6" t="str">
        <f>VLOOKUP(TRIM(A115),wikily_maps!A:O,15,FALSE)</f>
        <v>Astraeos, Crystal Isles, Extinction, Fjordur, Genesis, Lost Island, Ragnarok, Scorched Earth, The Center, The Island, Valguero</v>
      </c>
      <c r="E115" s="4">
        <v>240</v>
      </c>
      <c r="F115" s="1">
        <v>48</v>
      </c>
      <c r="G115" s="5">
        <v>5.4</v>
      </c>
      <c r="H115" s="4">
        <v>560</v>
      </c>
      <c r="I115" s="1">
        <v>56</v>
      </c>
      <c r="J115" s="5">
        <v>10</v>
      </c>
      <c r="K115" s="4">
        <v>150</v>
      </c>
      <c r="L115" s="1">
        <v>15</v>
      </c>
      <c r="M115" s="5">
        <v>10</v>
      </c>
      <c r="N115" s="4">
        <v>1500</v>
      </c>
      <c r="O115" s="1">
        <v>150</v>
      </c>
      <c r="P115" s="5">
        <v>10</v>
      </c>
      <c r="Q115" s="4">
        <v>350</v>
      </c>
      <c r="R115" s="1">
        <v>7</v>
      </c>
      <c r="S115" s="5">
        <v>4</v>
      </c>
      <c r="T115" s="4">
        <v>9</v>
      </c>
      <c r="U115" s="1">
        <v>0.45</v>
      </c>
      <c r="V115" s="5">
        <v>1.7</v>
      </c>
      <c r="W115" s="4">
        <v>100</v>
      </c>
      <c r="X115" s="5">
        <v>1.75</v>
      </c>
      <c r="Y115" s="4">
        <v>420</v>
      </c>
      <c r="Z115" s="5">
        <v>25.2</v>
      </c>
    </row>
    <row r="116" spans="1:26" x14ac:dyDescent="0.25">
      <c r="A116" s="2" t="s">
        <v>65</v>
      </c>
      <c r="B116" s="6" t="s">
        <v>230</v>
      </c>
      <c r="D116" s="6" t="str">
        <f>VLOOKUP(TRIM(A116),wikily_maps!A:O,15,FALSE)</f>
        <v>Astraeos, Scorched Earth</v>
      </c>
      <c r="E116" s="4">
        <v>950</v>
      </c>
      <c r="F116" s="1">
        <v>190</v>
      </c>
      <c r="G116" s="5">
        <v>5.4</v>
      </c>
      <c r="H116" s="4">
        <v>350</v>
      </c>
      <c r="I116" s="1">
        <v>35</v>
      </c>
      <c r="J116" s="5">
        <v>10</v>
      </c>
      <c r="K116" s="4">
        <v>150</v>
      </c>
      <c r="L116" s="1">
        <v>15</v>
      </c>
      <c r="M116" s="5">
        <v>10</v>
      </c>
      <c r="N116" s="4">
        <v>2750</v>
      </c>
      <c r="O116" s="1">
        <v>275</v>
      </c>
      <c r="P116" s="5">
        <v>10</v>
      </c>
      <c r="Q116" s="4">
        <v>450</v>
      </c>
      <c r="R116" s="1">
        <v>9</v>
      </c>
      <c r="S116" s="5">
        <v>4</v>
      </c>
      <c r="T116" s="4">
        <v>66</v>
      </c>
      <c r="U116" s="1">
        <v>3.3</v>
      </c>
      <c r="V116" s="5">
        <v>1.7</v>
      </c>
      <c r="W116" s="4">
        <v>100</v>
      </c>
      <c r="X116" s="5">
        <v>1</v>
      </c>
      <c r="Y116" s="4">
        <v>1350</v>
      </c>
      <c r="Z116" s="5">
        <v>81</v>
      </c>
    </row>
    <row r="117" spans="1:26" x14ac:dyDescent="0.25">
      <c r="A117" s="2" t="s">
        <v>66</v>
      </c>
      <c r="B117" s="6" t="s">
        <v>230</v>
      </c>
      <c r="D117" s="6" t="str">
        <f>VLOOKUP(TRIM(A117),wikily_maps!A:O,15,FALSE)</f>
        <v>Aberration, Crystal Isles, Fjordur, Genesis 2, Genesis, Ragnarok, Valguero</v>
      </c>
      <c r="E117" s="4">
        <v>115</v>
      </c>
      <c r="F117" s="1">
        <v>23</v>
      </c>
      <c r="G117" s="5">
        <v>5.4</v>
      </c>
      <c r="H117" s="4">
        <v>100</v>
      </c>
      <c r="I117" s="1">
        <v>10</v>
      </c>
      <c r="J117" s="5">
        <v>10</v>
      </c>
      <c r="K117" s="4">
        <v>180</v>
      </c>
      <c r="L117" s="1">
        <v>19.8</v>
      </c>
      <c r="M117" s="5">
        <v>11</v>
      </c>
      <c r="N117" s="4">
        <v>450</v>
      </c>
      <c r="O117" s="1">
        <v>45</v>
      </c>
      <c r="P117" s="5">
        <v>10</v>
      </c>
      <c r="Q117" s="4">
        <v>70</v>
      </c>
      <c r="R117" s="1">
        <v>1.4</v>
      </c>
      <c r="S117" s="5">
        <v>4</v>
      </c>
      <c r="T117" s="4">
        <v>3</v>
      </c>
      <c r="U117" s="1">
        <v>0.19500000000000001</v>
      </c>
      <c r="V117" s="5">
        <v>2.04</v>
      </c>
      <c r="W117" s="4">
        <v>100</v>
      </c>
      <c r="X117" s="5">
        <v>1</v>
      </c>
      <c r="Y117" s="4">
        <v>60</v>
      </c>
      <c r="Z117" s="5">
        <v>3.6</v>
      </c>
    </row>
    <row r="118" spans="1:26" x14ac:dyDescent="0.25">
      <c r="A118" s="2" t="s">
        <v>67</v>
      </c>
      <c r="B118" s="6" t="s">
        <v>230</v>
      </c>
      <c r="D118" s="6" t="s">
        <v>183</v>
      </c>
      <c r="E118" s="4">
        <v>750</v>
      </c>
      <c r="F118" s="1">
        <v>150</v>
      </c>
      <c r="G118" s="5">
        <v>5.4</v>
      </c>
      <c r="H118" s="4">
        <v>330</v>
      </c>
      <c r="I118" s="1">
        <v>33</v>
      </c>
      <c r="J118" s="5">
        <v>10</v>
      </c>
      <c r="K118" s="4">
        <v>150</v>
      </c>
      <c r="L118" s="1">
        <v>15</v>
      </c>
      <c r="M118" s="5">
        <v>10</v>
      </c>
      <c r="N118" s="4">
        <v>2000</v>
      </c>
      <c r="O118" s="1">
        <v>200</v>
      </c>
      <c r="P118" s="5">
        <v>10</v>
      </c>
      <c r="Q118" s="4">
        <v>600</v>
      </c>
      <c r="R118" s="1">
        <v>12</v>
      </c>
      <c r="S118" s="5">
        <v>4</v>
      </c>
      <c r="T118" s="4">
        <v>50</v>
      </c>
      <c r="U118" s="1">
        <v>2.5</v>
      </c>
      <c r="V118" s="5">
        <v>1.7</v>
      </c>
      <c r="W118" s="4">
        <v>100</v>
      </c>
      <c r="X118" s="5">
        <v>1</v>
      </c>
      <c r="Y118" s="4">
        <v>1225</v>
      </c>
      <c r="Z118" s="5">
        <v>73.5</v>
      </c>
    </row>
    <row r="119" spans="1:26" x14ac:dyDescent="0.25">
      <c r="A119" s="2" t="s">
        <v>219</v>
      </c>
      <c r="B119" s="6" t="s">
        <v>178</v>
      </c>
      <c r="C119" s="6" t="s">
        <v>721</v>
      </c>
      <c r="D119" s="6" t="s">
        <v>183</v>
      </c>
      <c r="E119" s="4">
        <v>385000</v>
      </c>
      <c r="F119" s="5">
        <v>0</v>
      </c>
      <c r="G119" s="5">
        <v>0</v>
      </c>
      <c r="H119" s="4">
        <v>1320</v>
      </c>
      <c r="I119" s="5">
        <v>0</v>
      </c>
      <c r="J119" s="5">
        <v>0</v>
      </c>
      <c r="K119" s="4">
        <v>600</v>
      </c>
      <c r="L119" s="5">
        <v>0</v>
      </c>
      <c r="M119" s="5">
        <v>0</v>
      </c>
      <c r="N119" s="4">
        <v>5000</v>
      </c>
      <c r="O119" s="5">
        <v>0</v>
      </c>
      <c r="P119" s="5">
        <v>0</v>
      </c>
      <c r="Q119" s="4">
        <v>1200</v>
      </c>
      <c r="R119" s="5">
        <v>0</v>
      </c>
      <c r="S119" s="5">
        <v>0</v>
      </c>
      <c r="T119" s="4">
        <v>200</v>
      </c>
      <c r="U119" s="5">
        <v>0</v>
      </c>
      <c r="V119" s="5">
        <v>0</v>
      </c>
      <c r="W119" s="4">
        <v>100</v>
      </c>
      <c r="X119" s="5">
        <v>0</v>
      </c>
      <c r="Y119" s="4">
        <v>2500</v>
      </c>
      <c r="Z119" s="5">
        <v>0</v>
      </c>
    </row>
    <row r="120" spans="1:26" x14ac:dyDescent="0.25">
      <c r="A120" s="2" t="s">
        <v>219</v>
      </c>
      <c r="B120" s="6" t="s">
        <v>177</v>
      </c>
      <c r="C120" s="6" t="s">
        <v>722</v>
      </c>
      <c r="D120" s="6" t="s">
        <v>183</v>
      </c>
      <c r="E120" s="4">
        <v>750000</v>
      </c>
      <c r="F120" s="5">
        <v>0</v>
      </c>
      <c r="G120" s="5">
        <v>0</v>
      </c>
      <c r="H120" s="4">
        <v>1320</v>
      </c>
      <c r="I120" s="5">
        <v>0</v>
      </c>
      <c r="J120" s="5">
        <v>0</v>
      </c>
      <c r="K120" s="4">
        <v>600</v>
      </c>
      <c r="L120" s="5">
        <v>0</v>
      </c>
      <c r="M120" s="5">
        <v>0</v>
      </c>
      <c r="N120" s="4">
        <v>5000</v>
      </c>
      <c r="O120" s="5">
        <v>0</v>
      </c>
      <c r="P120" s="5">
        <v>0</v>
      </c>
      <c r="Q120" s="4">
        <v>1200</v>
      </c>
      <c r="R120" s="5">
        <v>0</v>
      </c>
      <c r="S120" s="5">
        <v>0</v>
      </c>
      <c r="T120" s="4">
        <v>200</v>
      </c>
      <c r="U120" s="5">
        <v>0</v>
      </c>
      <c r="V120" s="5">
        <v>0</v>
      </c>
      <c r="W120" s="4">
        <v>100</v>
      </c>
      <c r="X120" s="5">
        <v>0</v>
      </c>
      <c r="Y120" s="4">
        <v>2500</v>
      </c>
      <c r="Z120" s="5">
        <v>0</v>
      </c>
    </row>
    <row r="121" spans="1:26" x14ac:dyDescent="0.25">
      <c r="A121" s="2" t="s">
        <v>219</v>
      </c>
      <c r="B121" s="6" t="s">
        <v>176</v>
      </c>
      <c r="C121" s="6" t="s">
        <v>723</v>
      </c>
      <c r="D121" s="6" t="s">
        <v>183</v>
      </c>
      <c r="E121" s="4">
        <v>1200000</v>
      </c>
      <c r="F121" s="5">
        <v>0</v>
      </c>
      <c r="G121" s="5">
        <v>0</v>
      </c>
      <c r="H121" s="4">
        <v>1320</v>
      </c>
      <c r="I121" s="5">
        <v>0</v>
      </c>
      <c r="J121" s="5">
        <v>0</v>
      </c>
      <c r="K121" s="4">
        <v>600</v>
      </c>
      <c r="L121" s="5">
        <v>0</v>
      </c>
      <c r="M121" s="5">
        <v>0</v>
      </c>
      <c r="N121" s="4">
        <v>5000</v>
      </c>
      <c r="O121" s="5">
        <v>0</v>
      </c>
      <c r="P121" s="5">
        <v>0</v>
      </c>
      <c r="Q121" s="4">
        <v>1200</v>
      </c>
      <c r="R121" s="5">
        <v>0</v>
      </c>
      <c r="S121" s="5">
        <v>0</v>
      </c>
      <c r="T121" s="4">
        <v>200</v>
      </c>
      <c r="U121" s="5">
        <v>0</v>
      </c>
      <c r="V121" s="5">
        <v>0</v>
      </c>
      <c r="W121" s="4">
        <v>100</v>
      </c>
      <c r="X121" s="5">
        <v>0</v>
      </c>
      <c r="Y121" s="4">
        <v>2500</v>
      </c>
      <c r="Z121" s="5">
        <v>0</v>
      </c>
    </row>
    <row r="122" spans="1:26" x14ac:dyDescent="0.25">
      <c r="A122" s="2" t="s">
        <v>68</v>
      </c>
      <c r="B122" s="6" t="s">
        <v>230</v>
      </c>
      <c r="D122" s="6" t="str">
        <f>VLOOKUP(TRIM(A122),wikily_maps!A:O,15,FALSE)</f>
        <v>Fjordur, Genesis 2, Genesis, Lost Island, Scorched Earth</v>
      </c>
      <c r="E122" s="4">
        <v>1100</v>
      </c>
      <c r="F122" s="1">
        <v>220</v>
      </c>
      <c r="G122" s="5">
        <v>5.4</v>
      </c>
      <c r="H122" s="4">
        <v>1000</v>
      </c>
      <c r="I122" s="1">
        <v>100</v>
      </c>
      <c r="J122" s="5">
        <v>10</v>
      </c>
      <c r="K122" s="4">
        <v>150</v>
      </c>
      <c r="L122" s="1">
        <v>15</v>
      </c>
      <c r="M122" s="5">
        <v>10</v>
      </c>
      <c r="N122" s="4">
        <v>1200</v>
      </c>
      <c r="O122" s="1">
        <v>120</v>
      </c>
      <c r="P122" s="5">
        <v>10</v>
      </c>
      <c r="Q122" s="4">
        <v>350</v>
      </c>
      <c r="R122" s="1">
        <v>7</v>
      </c>
      <c r="S122" s="5">
        <v>4</v>
      </c>
      <c r="T122" s="4">
        <v>46</v>
      </c>
      <c r="U122" s="1">
        <v>2.2999999999999998</v>
      </c>
      <c r="V122" s="5">
        <v>1.7</v>
      </c>
      <c r="W122" s="4">
        <v>100</v>
      </c>
      <c r="X122" s="5">
        <v>0.1</v>
      </c>
      <c r="Y122" s="4">
        <v>180</v>
      </c>
      <c r="Z122" s="5">
        <v>10.8</v>
      </c>
    </row>
    <row r="123" spans="1:26" x14ac:dyDescent="0.25">
      <c r="A123" s="2" t="s">
        <v>69</v>
      </c>
      <c r="B123" s="6" t="s">
        <v>230</v>
      </c>
      <c r="D123" s="6" t="str">
        <f>VLOOKUP(TRIM(A123),wikily_maps!A:O,15,FALSE)</f>
        <v>Fjordur</v>
      </c>
      <c r="E123" s="4">
        <v>125</v>
      </c>
      <c r="F123" s="14">
        <v>20.8</v>
      </c>
      <c r="G123" s="12">
        <v>4509</v>
      </c>
      <c r="H123" s="4">
        <v>150</v>
      </c>
      <c r="I123" s="1">
        <v>15</v>
      </c>
      <c r="J123" s="5">
        <v>10</v>
      </c>
      <c r="K123" s="4">
        <v>150</v>
      </c>
      <c r="L123" s="1">
        <v>15</v>
      </c>
      <c r="M123" s="5">
        <v>10</v>
      </c>
      <c r="N123" s="4">
        <v>1000</v>
      </c>
      <c r="O123" s="1">
        <v>100</v>
      </c>
      <c r="P123" s="5">
        <v>10</v>
      </c>
      <c r="Q123" s="4">
        <v>65</v>
      </c>
      <c r="R123" s="1">
        <v>1.3</v>
      </c>
      <c r="S123" s="5">
        <v>4</v>
      </c>
      <c r="T123" s="4">
        <v>16</v>
      </c>
      <c r="U123" s="1">
        <v>0.8</v>
      </c>
      <c r="V123" s="5">
        <v>1.7</v>
      </c>
      <c r="W123" s="4">
        <v>100</v>
      </c>
      <c r="X123" s="5">
        <v>1</v>
      </c>
      <c r="Y123" s="4">
        <v>120</v>
      </c>
      <c r="Z123" s="5">
        <v>7.2</v>
      </c>
    </row>
    <row r="124" spans="1:26" x14ac:dyDescent="0.25">
      <c r="A124" s="2" t="s">
        <v>70</v>
      </c>
      <c r="B124" s="6" t="s">
        <v>175</v>
      </c>
      <c r="C124" s="6" t="s">
        <v>208</v>
      </c>
      <c r="D124" s="6" t="s">
        <v>196</v>
      </c>
      <c r="E124" s="4">
        <v>400000</v>
      </c>
      <c r="F124" s="5">
        <v>0</v>
      </c>
      <c r="G124" s="5">
        <v>0</v>
      </c>
      <c r="H124" s="4">
        <v>6000</v>
      </c>
      <c r="I124" s="5">
        <v>0</v>
      </c>
      <c r="J124" s="5">
        <v>0</v>
      </c>
      <c r="K124" s="4">
        <v>150</v>
      </c>
      <c r="L124" s="5">
        <v>0</v>
      </c>
      <c r="M124" s="5">
        <v>0</v>
      </c>
      <c r="N124" s="4">
        <v>864</v>
      </c>
      <c r="O124" s="5">
        <v>0</v>
      </c>
      <c r="P124" s="5">
        <v>0</v>
      </c>
      <c r="Q124" s="4">
        <v>50000</v>
      </c>
      <c r="R124" s="5">
        <v>0</v>
      </c>
      <c r="S124" s="5">
        <v>0</v>
      </c>
      <c r="T124" s="4">
        <v>800</v>
      </c>
      <c r="U124" s="5">
        <v>0</v>
      </c>
      <c r="V124" s="5">
        <v>0</v>
      </c>
      <c r="W124" s="4">
        <v>100</v>
      </c>
      <c r="X124" s="5">
        <v>0</v>
      </c>
      <c r="Y124" s="4">
        <v>1818800</v>
      </c>
      <c r="Z124" s="5">
        <v>0</v>
      </c>
    </row>
    <row r="125" spans="1:26" x14ac:dyDescent="0.25">
      <c r="A125" s="2" t="s">
        <v>71</v>
      </c>
      <c r="B125" s="6" t="s">
        <v>230</v>
      </c>
      <c r="D125" s="6" t="str">
        <f>VLOOKUP(TRIM(A125),wikily_maps!A:O,15,FALSE)</f>
        <v>Astraeos, Extinction, Fjordur, Genesis 2</v>
      </c>
      <c r="E125" s="4">
        <v>750</v>
      </c>
      <c r="F125" s="1">
        <v>150</v>
      </c>
      <c r="G125" s="5">
        <v>5.4</v>
      </c>
      <c r="H125" s="4">
        <v>325</v>
      </c>
      <c r="I125" s="1">
        <v>32.5</v>
      </c>
      <c r="J125" s="5">
        <v>10</v>
      </c>
      <c r="K125" s="4">
        <v>150</v>
      </c>
      <c r="L125" s="1">
        <v>15</v>
      </c>
      <c r="M125" s="5">
        <v>10</v>
      </c>
      <c r="N125" s="4">
        <v>3000</v>
      </c>
      <c r="O125" s="1">
        <v>300</v>
      </c>
      <c r="P125" s="5">
        <v>10</v>
      </c>
      <c r="Q125" s="4">
        <v>550</v>
      </c>
      <c r="R125" s="1">
        <v>22</v>
      </c>
      <c r="S125" s="5">
        <v>4</v>
      </c>
      <c r="T125" s="4">
        <v>32</v>
      </c>
      <c r="U125" s="1">
        <v>1.6</v>
      </c>
      <c r="V125" s="5">
        <v>1.7</v>
      </c>
      <c r="W125" s="4">
        <v>100</v>
      </c>
      <c r="X125" s="5">
        <v>1</v>
      </c>
      <c r="Y125" s="4">
        <v>600</v>
      </c>
      <c r="Z125" s="5">
        <v>36</v>
      </c>
    </row>
    <row r="126" spans="1:26" x14ac:dyDescent="0.25">
      <c r="A126" s="2" t="s">
        <v>72</v>
      </c>
      <c r="B126" s="6" t="s">
        <v>230</v>
      </c>
      <c r="D126" s="6" t="str">
        <f>VLOOKUP(TRIM(A126),wikily_maps!A:O,15,FALSE)</f>
        <v>Astraeos, Crystal Isles, Extinction, Fjordur, Genesis 2, Genesis, Lost Island, Ragnarok, Scorched Earth, The Center, The Island, Valguero</v>
      </c>
      <c r="E126" s="4">
        <v>150</v>
      </c>
      <c r="F126" s="1">
        <v>30</v>
      </c>
      <c r="G126" s="5">
        <v>5.4</v>
      </c>
      <c r="H126" s="4">
        <v>300</v>
      </c>
      <c r="I126" s="1">
        <v>30</v>
      </c>
      <c r="J126" s="5">
        <v>10</v>
      </c>
      <c r="K126" s="4">
        <v>150</v>
      </c>
      <c r="L126" s="1">
        <v>15</v>
      </c>
      <c r="M126" s="5">
        <v>10</v>
      </c>
      <c r="N126" s="4">
        <v>1000</v>
      </c>
      <c r="O126" s="1">
        <v>100</v>
      </c>
      <c r="P126" s="5">
        <v>10</v>
      </c>
      <c r="Q126" s="4">
        <v>270</v>
      </c>
      <c r="R126" s="1">
        <v>5.4</v>
      </c>
      <c r="S126" s="5">
        <v>4</v>
      </c>
      <c r="T126" s="4">
        <v>8</v>
      </c>
      <c r="U126" s="1">
        <v>0.4</v>
      </c>
      <c r="V126" s="5">
        <v>3.4</v>
      </c>
      <c r="W126" s="4">
        <v>100</v>
      </c>
      <c r="X126" s="5">
        <v>1</v>
      </c>
      <c r="Y126" s="4">
        <v>420</v>
      </c>
      <c r="Z126" s="5">
        <v>25.2</v>
      </c>
    </row>
    <row r="127" spans="1:26" x14ac:dyDescent="0.25">
      <c r="A127" s="2" t="s">
        <v>73</v>
      </c>
      <c r="B127" s="6" t="s">
        <v>230</v>
      </c>
      <c r="D127" s="6" t="str">
        <f>VLOOKUP(TRIM(A127),wikily_maps!A:O,15,FALSE)</f>
        <v>Astraeos, Extinction, Fjordur, Genesis</v>
      </c>
      <c r="E127" s="4">
        <v>650</v>
      </c>
      <c r="F127" s="1">
        <v>130</v>
      </c>
      <c r="G127" s="5">
        <v>5.4</v>
      </c>
      <c r="H127" s="4">
        <v>600</v>
      </c>
      <c r="I127" s="1">
        <v>60</v>
      </c>
      <c r="J127" s="5">
        <v>10</v>
      </c>
      <c r="K127" s="4">
        <v>1000</v>
      </c>
      <c r="L127" s="1">
        <v>90</v>
      </c>
      <c r="M127" s="5">
        <v>9</v>
      </c>
      <c r="N127" s="4">
        <v>3500</v>
      </c>
      <c r="O127" s="1">
        <v>350</v>
      </c>
      <c r="P127" s="5">
        <v>10</v>
      </c>
      <c r="Q127" s="4">
        <v>3000</v>
      </c>
      <c r="R127" s="1">
        <v>60</v>
      </c>
      <c r="S127" s="5">
        <v>1.25</v>
      </c>
      <c r="T127" s="4">
        <v>5</v>
      </c>
      <c r="U127" s="1">
        <v>0.25</v>
      </c>
      <c r="V127" s="5">
        <v>1.7</v>
      </c>
      <c r="W127" s="4">
        <v>100</v>
      </c>
      <c r="X127" s="5">
        <v>1.5</v>
      </c>
      <c r="Y127" s="4">
        <v>450</v>
      </c>
      <c r="Z127" s="5">
        <v>27</v>
      </c>
    </row>
    <row r="128" spans="1:26" x14ac:dyDescent="0.25">
      <c r="A128" s="2" t="s">
        <v>687</v>
      </c>
      <c r="B128" s="6" t="s">
        <v>230</v>
      </c>
      <c r="D128" s="6" t="str">
        <f>VLOOKUP(TRIM(A128),wikily_maps!A:O,15,FALSE)</f>
        <v>Aberration, Astraeos, Crystal Isles, Extinction, Fjordur, Genesis 2, Genesis, Lost Island, Ragnarok, Scorched Earth, The Center, The Island, Valguero</v>
      </c>
      <c r="E128" s="4">
        <v>80</v>
      </c>
      <c r="F128" s="1">
        <v>16</v>
      </c>
      <c r="G128" s="5">
        <v>5.4</v>
      </c>
      <c r="H128" s="4">
        <v>200</v>
      </c>
      <c r="I128" s="1">
        <v>20</v>
      </c>
      <c r="J128" s="5">
        <v>10</v>
      </c>
      <c r="K128" s="4">
        <v>150</v>
      </c>
      <c r="L128" s="1">
        <v>15</v>
      </c>
      <c r="M128" s="5">
        <v>10</v>
      </c>
      <c r="N128" s="4">
        <v>450</v>
      </c>
      <c r="O128" s="1">
        <v>45</v>
      </c>
      <c r="P128" s="5">
        <v>10</v>
      </c>
      <c r="Q128" s="4">
        <v>150</v>
      </c>
      <c r="R128" s="1">
        <v>3</v>
      </c>
      <c r="S128" s="5">
        <v>4</v>
      </c>
      <c r="T128" s="4">
        <v>8</v>
      </c>
      <c r="U128" s="1">
        <v>0.4</v>
      </c>
      <c r="V128" s="5">
        <v>1.7</v>
      </c>
      <c r="W128" s="4">
        <v>100</v>
      </c>
      <c r="X128" s="5">
        <v>1</v>
      </c>
      <c r="Y128" s="4">
        <v>400</v>
      </c>
      <c r="Z128" s="5">
        <v>24</v>
      </c>
    </row>
    <row r="129" spans="1:26" x14ac:dyDescent="0.25">
      <c r="A129" s="2" t="s">
        <v>74</v>
      </c>
      <c r="B129" s="6" t="s">
        <v>230</v>
      </c>
      <c r="D129" s="6" t="str">
        <f>VLOOKUP(TRIM(A129),wikily_maps!A:O,15,FALSE)</f>
        <v>Astraeos, Crystal Isles, Extinction, Fjordur, Genesis 2, Lost Island, Ragnarok, The Center, The Island, Valguero</v>
      </c>
      <c r="E129" s="4">
        <v>80000</v>
      </c>
      <c r="F129" s="1">
        <v>40</v>
      </c>
      <c r="G129" s="5">
        <v>0.04</v>
      </c>
      <c r="H129" s="4">
        <v>400</v>
      </c>
      <c r="I129" s="1">
        <v>0.2</v>
      </c>
      <c r="J129" s="5">
        <v>1</v>
      </c>
      <c r="K129" s="4">
        <v>150</v>
      </c>
      <c r="L129" s="1">
        <v>0.375</v>
      </c>
      <c r="M129" s="5">
        <v>2.5</v>
      </c>
      <c r="N129" s="4">
        <v>4000</v>
      </c>
      <c r="O129" s="1">
        <v>10</v>
      </c>
      <c r="P129" s="5">
        <v>2.5</v>
      </c>
      <c r="Q129" s="4">
        <v>700</v>
      </c>
      <c r="R129" s="1">
        <v>7</v>
      </c>
      <c r="S129" s="5">
        <v>1</v>
      </c>
      <c r="T129" s="4">
        <v>500</v>
      </c>
      <c r="U129" s="1">
        <v>25</v>
      </c>
      <c r="V129" s="5">
        <v>0.85</v>
      </c>
      <c r="W129" s="4">
        <v>100</v>
      </c>
      <c r="X129" s="5">
        <v>0.31</v>
      </c>
      <c r="Y129" s="4">
        <v>10000</v>
      </c>
      <c r="Z129" s="5">
        <v>600</v>
      </c>
    </row>
    <row r="130" spans="1:26" x14ac:dyDescent="0.25">
      <c r="A130" s="2" t="s">
        <v>75</v>
      </c>
      <c r="B130" s="6" t="s">
        <v>230</v>
      </c>
      <c r="D130" s="6" t="str">
        <f>VLOOKUP(TRIM(A130),wikily_maps!A:O,15,FALSE)</f>
        <v>Astraeos, Crystal Isles, Fjordur, Genesis, Lost Island, Ragnarok, The Center, The Island, Valguero</v>
      </c>
      <c r="E130" s="4">
        <v>640</v>
      </c>
      <c r="F130" s="1">
        <v>64</v>
      </c>
      <c r="G130" s="5">
        <v>5.4</v>
      </c>
      <c r="H130" s="4">
        <v>300</v>
      </c>
      <c r="I130" s="1">
        <v>30</v>
      </c>
      <c r="J130" s="5">
        <v>10</v>
      </c>
      <c r="K130" s="4">
        <v>150</v>
      </c>
      <c r="L130" s="1">
        <v>15</v>
      </c>
      <c r="M130" s="5">
        <v>10</v>
      </c>
      <c r="N130" s="4">
        <v>1500</v>
      </c>
      <c r="O130" s="1">
        <v>150</v>
      </c>
      <c r="P130" s="5">
        <v>10</v>
      </c>
      <c r="Q130" s="4">
        <v>220</v>
      </c>
      <c r="R130" s="1">
        <v>4.4000000000000004</v>
      </c>
      <c r="S130" s="5">
        <v>4</v>
      </c>
      <c r="T130" s="4">
        <v>40</v>
      </c>
      <c r="U130" s="1">
        <v>1.6</v>
      </c>
      <c r="V130" s="5">
        <v>1.7</v>
      </c>
      <c r="W130" s="4">
        <v>100</v>
      </c>
      <c r="X130" s="5">
        <v>1</v>
      </c>
      <c r="Y130" s="4">
        <v>1100</v>
      </c>
      <c r="Z130" s="5">
        <v>66</v>
      </c>
    </row>
    <row r="131" spans="1:26" x14ac:dyDescent="0.25">
      <c r="A131" s="2" t="s">
        <v>76</v>
      </c>
      <c r="B131" s="6" t="s">
        <v>230</v>
      </c>
      <c r="D131" s="6" t="str">
        <f>VLOOKUP(TRIM(A131),wikily_maps!A:O,15,FALSE)</f>
        <v>Astraeos, Extinction, The Center, The Island, Valguero</v>
      </c>
      <c r="E131" s="4">
        <v>770</v>
      </c>
      <c r="F131" s="1">
        <v>154</v>
      </c>
      <c r="G131" s="5">
        <v>5.4</v>
      </c>
      <c r="H131" s="4">
        <v>350</v>
      </c>
      <c r="I131" s="1">
        <v>35</v>
      </c>
      <c r="J131" s="5">
        <v>10</v>
      </c>
      <c r="K131" s="4">
        <v>150</v>
      </c>
      <c r="L131" s="1">
        <v>15</v>
      </c>
      <c r="M131" s="5">
        <v>10</v>
      </c>
      <c r="N131" s="4">
        <v>3000</v>
      </c>
      <c r="O131" s="1">
        <v>300</v>
      </c>
      <c r="P131" s="5">
        <v>10</v>
      </c>
      <c r="Q131" s="4">
        <v>320</v>
      </c>
      <c r="R131" s="1">
        <v>6.4</v>
      </c>
      <c r="S131" s="5">
        <v>4</v>
      </c>
      <c r="T131" s="4">
        <v>20</v>
      </c>
      <c r="U131" s="1">
        <v>10</v>
      </c>
      <c r="V131" s="5">
        <v>1.7</v>
      </c>
      <c r="W131" s="4">
        <v>100</v>
      </c>
      <c r="X131" s="5">
        <v>0</v>
      </c>
      <c r="Y131" s="4">
        <v>950</v>
      </c>
      <c r="Z131" s="5">
        <v>57</v>
      </c>
    </row>
    <row r="132" spans="1:26" x14ac:dyDescent="0.25">
      <c r="A132" s="2" t="s">
        <v>77</v>
      </c>
      <c r="B132" s="6" t="s">
        <v>230</v>
      </c>
      <c r="D132" s="6" t="str">
        <f>VLOOKUP(TRIM(A132),wikily_maps!A:O,15,FALSE)</f>
        <v>Crystal Isles, Fjordur, Genesis 2, Genesis</v>
      </c>
      <c r="E132" s="4">
        <v>75</v>
      </c>
      <c r="F132" s="1">
        <v>15</v>
      </c>
      <c r="G132" s="5">
        <v>5.4</v>
      </c>
      <c r="H132" s="4">
        <v>100</v>
      </c>
      <c r="I132" s="1">
        <v>10</v>
      </c>
      <c r="J132" s="5">
        <v>10</v>
      </c>
      <c r="K132" s="4">
        <v>150</v>
      </c>
      <c r="L132" s="1">
        <v>15</v>
      </c>
      <c r="M132" s="5">
        <v>10</v>
      </c>
      <c r="N132" s="4">
        <v>450</v>
      </c>
      <c r="O132" s="1">
        <v>45</v>
      </c>
      <c r="P132" s="5">
        <v>10</v>
      </c>
      <c r="Q132" s="4">
        <v>50</v>
      </c>
      <c r="R132" s="1">
        <v>1</v>
      </c>
      <c r="S132" s="5">
        <v>4</v>
      </c>
      <c r="T132" s="4">
        <v>18</v>
      </c>
      <c r="U132" s="1">
        <v>0.9</v>
      </c>
      <c r="V132" s="5">
        <v>1.4</v>
      </c>
      <c r="W132" s="4">
        <v>100</v>
      </c>
      <c r="X132" s="5">
        <v>0</v>
      </c>
      <c r="Y132" s="4">
        <v>100</v>
      </c>
      <c r="Z132" s="5">
        <v>6</v>
      </c>
    </row>
    <row r="133" spans="1:26" x14ac:dyDescent="0.25">
      <c r="A133" s="2" t="s">
        <v>78</v>
      </c>
      <c r="B133" s="6" t="s">
        <v>230</v>
      </c>
      <c r="D133" s="6" t="str">
        <f>VLOOKUP(TRIM(A133),wikily_maps!A:O,15,FALSE)</f>
        <v>Aberration, Crystal Isles, Fjordur, Genesis 2, Lost Island, Valguero</v>
      </c>
      <c r="E133" s="4">
        <v>115</v>
      </c>
      <c r="F133" s="1">
        <v>23</v>
      </c>
      <c r="G133" s="5">
        <v>5.4</v>
      </c>
      <c r="H133" s="4">
        <v>100</v>
      </c>
      <c r="I133" s="1">
        <v>10</v>
      </c>
      <c r="J133" s="5">
        <v>12.5</v>
      </c>
      <c r="K133" s="4">
        <v>200</v>
      </c>
      <c r="L133" s="1">
        <v>24</v>
      </c>
      <c r="M133" s="5">
        <v>11.5</v>
      </c>
      <c r="N133" s="4">
        <v>450</v>
      </c>
      <c r="O133" s="1">
        <v>45</v>
      </c>
      <c r="P133" s="5">
        <v>10</v>
      </c>
      <c r="Q133" s="4">
        <v>70</v>
      </c>
      <c r="R133" s="1">
        <v>1.4</v>
      </c>
      <c r="S133" s="5">
        <v>4</v>
      </c>
      <c r="T133" s="4">
        <v>12</v>
      </c>
      <c r="U133" s="1">
        <v>0.66</v>
      </c>
      <c r="V133" s="5">
        <v>1.87</v>
      </c>
      <c r="W133" s="4">
        <v>100</v>
      </c>
      <c r="X133" s="5">
        <v>1</v>
      </c>
      <c r="Y133" s="4">
        <v>60</v>
      </c>
      <c r="Z133" s="5">
        <v>3.6</v>
      </c>
    </row>
    <row r="134" spans="1:26" x14ac:dyDescent="0.25">
      <c r="A134" s="2" t="s">
        <v>79</v>
      </c>
      <c r="B134" s="6" t="s">
        <v>230</v>
      </c>
      <c r="D134" s="6" t="str">
        <f>VLOOKUP(TRIM(A134),wikily_maps!A:O,15,FALSE)</f>
        <v>Crystal Isles, Fjordur, Lost Island, Ragnarok</v>
      </c>
      <c r="E134" s="4">
        <v>950</v>
      </c>
      <c r="F134" s="1">
        <v>142.5</v>
      </c>
      <c r="G134" s="5">
        <v>4.32</v>
      </c>
      <c r="H134" s="4">
        <v>225</v>
      </c>
      <c r="I134" s="1">
        <v>11.25</v>
      </c>
      <c r="J134" s="5">
        <v>6</v>
      </c>
      <c r="K134" s="4">
        <v>150</v>
      </c>
      <c r="L134" s="1">
        <v>15</v>
      </c>
      <c r="M134" s="5">
        <v>10</v>
      </c>
      <c r="N134" s="4">
        <v>1600</v>
      </c>
      <c r="O134" s="1">
        <v>160</v>
      </c>
      <c r="P134" s="5">
        <v>10</v>
      </c>
      <c r="Q134" s="4">
        <v>280</v>
      </c>
      <c r="R134" s="1">
        <v>5.6</v>
      </c>
      <c r="S134" s="5">
        <v>4</v>
      </c>
      <c r="T134" s="4">
        <v>27</v>
      </c>
      <c r="U134" s="1">
        <v>1.35</v>
      </c>
      <c r="V134" s="5">
        <v>1.7</v>
      </c>
      <c r="W134" s="4">
        <v>100</v>
      </c>
      <c r="X134" s="5">
        <v>0</v>
      </c>
      <c r="Y134" s="4">
        <v>1500</v>
      </c>
      <c r="Z134" s="5">
        <v>90</v>
      </c>
    </row>
    <row r="135" spans="1:26" x14ac:dyDescent="0.25">
      <c r="A135" s="15" t="s">
        <v>220</v>
      </c>
      <c r="B135" s="6" t="s">
        <v>175</v>
      </c>
      <c r="C135" s="6" t="s">
        <v>201</v>
      </c>
      <c r="D135" s="6" t="s">
        <v>183</v>
      </c>
      <c r="E135" s="4">
        <v>125000</v>
      </c>
      <c r="F135" s="5">
        <v>0</v>
      </c>
      <c r="G135" s="5">
        <v>0</v>
      </c>
      <c r="H135" s="4">
        <v>1320</v>
      </c>
      <c r="I135" s="5">
        <v>0</v>
      </c>
      <c r="J135" s="5">
        <v>0</v>
      </c>
      <c r="K135" s="4">
        <v>300</v>
      </c>
      <c r="L135" s="5">
        <v>0</v>
      </c>
      <c r="M135" s="5">
        <v>0</v>
      </c>
      <c r="N135" s="4">
        <v>5000</v>
      </c>
      <c r="O135" s="5">
        <v>0</v>
      </c>
      <c r="P135" s="5">
        <v>0</v>
      </c>
      <c r="Q135" s="4">
        <v>600</v>
      </c>
      <c r="R135" s="5">
        <v>0</v>
      </c>
      <c r="S135" s="5">
        <v>0</v>
      </c>
      <c r="T135" s="4">
        <v>100</v>
      </c>
      <c r="U135" s="5">
        <v>0</v>
      </c>
      <c r="V135" s="5">
        <v>0</v>
      </c>
      <c r="W135" s="4">
        <v>100</v>
      </c>
      <c r="X135" s="5">
        <v>0</v>
      </c>
      <c r="Y135" s="4">
        <v>2500</v>
      </c>
      <c r="Z135" s="5">
        <v>0</v>
      </c>
    </row>
    <row r="136" spans="1:26" x14ac:dyDescent="0.25">
      <c r="A136" s="15" t="s">
        <v>221</v>
      </c>
      <c r="B136" s="6" t="s">
        <v>175</v>
      </c>
      <c r="C136" s="6" t="s">
        <v>201</v>
      </c>
      <c r="D136" s="6" t="s">
        <v>183</v>
      </c>
      <c r="E136" s="4">
        <v>250000</v>
      </c>
      <c r="F136" s="5">
        <v>0</v>
      </c>
      <c r="G136" s="5">
        <v>0</v>
      </c>
      <c r="H136" s="4">
        <v>1320</v>
      </c>
      <c r="I136" s="5">
        <v>0</v>
      </c>
      <c r="J136" s="5">
        <v>0</v>
      </c>
      <c r="K136" s="4">
        <v>300</v>
      </c>
      <c r="L136" s="5">
        <v>0</v>
      </c>
      <c r="M136" s="5">
        <v>0</v>
      </c>
      <c r="N136" s="4">
        <v>5000</v>
      </c>
      <c r="O136" s="5">
        <v>0</v>
      </c>
      <c r="P136" s="5">
        <v>0</v>
      </c>
      <c r="Q136" s="4">
        <v>600</v>
      </c>
      <c r="R136" s="5">
        <v>0</v>
      </c>
      <c r="S136" s="5">
        <v>0</v>
      </c>
      <c r="T136" s="4">
        <v>100</v>
      </c>
      <c r="U136" s="5">
        <v>0</v>
      </c>
      <c r="V136" s="5">
        <v>0</v>
      </c>
      <c r="W136" s="4">
        <v>100</v>
      </c>
      <c r="X136" s="5">
        <v>0</v>
      </c>
      <c r="Y136" s="4">
        <v>2500</v>
      </c>
      <c r="Z136" s="5">
        <v>0</v>
      </c>
    </row>
    <row r="137" spans="1:26" x14ac:dyDescent="0.25">
      <c r="A137" s="2" t="s">
        <v>80</v>
      </c>
      <c r="B137" s="6" t="s">
        <v>230</v>
      </c>
      <c r="D137" s="6" t="str">
        <f>VLOOKUP(TRIM(A137),wikily_maps!A:O,15,FALSE)</f>
        <v>Valguero</v>
      </c>
      <c r="E137" s="4">
        <v>1300</v>
      </c>
      <c r="F137" s="1">
        <v>260</v>
      </c>
      <c r="G137" s="12">
        <v>6075</v>
      </c>
      <c r="H137" s="4">
        <v>500</v>
      </c>
      <c r="I137" s="1">
        <v>25</v>
      </c>
      <c r="J137" s="5">
        <v>10</v>
      </c>
      <c r="K137" s="4">
        <v>150</v>
      </c>
      <c r="L137" s="1">
        <v>0</v>
      </c>
      <c r="M137" s="5">
        <v>0</v>
      </c>
      <c r="N137" s="4">
        <v>2000</v>
      </c>
      <c r="O137" s="1">
        <v>200</v>
      </c>
      <c r="P137" s="5">
        <v>10</v>
      </c>
      <c r="Q137" s="4">
        <v>500</v>
      </c>
      <c r="R137" s="1">
        <v>10</v>
      </c>
      <c r="S137" s="5">
        <v>5.5</v>
      </c>
      <c r="T137" s="4">
        <v>50</v>
      </c>
      <c r="U137" s="1">
        <v>2.5</v>
      </c>
      <c r="V137" s="5">
        <v>1.7</v>
      </c>
      <c r="W137" s="4">
        <v>100</v>
      </c>
      <c r="X137" s="5">
        <v>0</v>
      </c>
      <c r="Y137" s="4">
        <v>800</v>
      </c>
      <c r="Z137" s="5">
        <v>48</v>
      </c>
    </row>
    <row r="138" spans="1:26" x14ac:dyDescent="0.25">
      <c r="A138" s="2" t="s">
        <v>81</v>
      </c>
      <c r="B138" s="6" t="s">
        <v>230</v>
      </c>
      <c r="D138" s="6" t="str">
        <f>VLOOKUP(TRIM(A138),wikily_maps!A:O,15,FALSE)</f>
        <v>Astraeos, Crystal Isles, Extinction, Fjordur, Genesis 2, Genesis, Lost Island, Ragnarok, The Center, The Island, Valguero</v>
      </c>
      <c r="E138" s="4">
        <v>95</v>
      </c>
      <c r="F138" s="1">
        <v>19</v>
      </c>
      <c r="G138" s="5">
        <v>5.4</v>
      </c>
      <c r="H138" s="4">
        <v>200</v>
      </c>
      <c r="I138" s="1">
        <v>20</v>
      </c>
      <c r="J138" s="5">
        <v>10</v>
      </c>
      <c r="K138" s="4">
        <v>0</v>
      </c>
      <c r="L138" s="1">
        <v>0</v>
      </c>
      <c r="M138" s="5">
        <v>0</v>
      </c>
      <c r="N138" s="4">
        <v>900</v>
      </c>
      <c r="O138" s="1">
        <v>90</v>
      </c>
      <c r="P138" s="5">
        <v>10</v>
      </c>
      <c r="Q138" s="4">
        <v>70</v>
      </c>
      <c r="R138" s="1">
        <v>1.4</v>
      </c>
      <c r="S138" s="5">
        <v>4</v>
      </c>
      <c r="T138" s="4">
        <v>1</v>
      </c>
      <c r="U138" s="1">
        <v>0.05</v>
      </c>
      <c r="V138" s="5">
        <v>1.7</v>
      </c>
      <c r="W138" s="4">
        <v>100</v>
      </c>
      <c r="X138" s="5">
        <v>1</v>
      </c>
      <c r="Y138" s="4">
        <v>300</v>
      </c>
      <c r="Z138" s="5">
        <v>18</v>
      </c>
    </row>
    <row r="139" spans="1:26" x14ac:dyDescent="0.25">
      <c r="A139" s="2" t="s">
        <v>82</v>
      </c>
      <c r="B139" s="6" t="s">
        <v>230</v>
      </c>
      <c r="D139" s="6" t="str">
        <f>VLOOKUP(TRIM(A139),wikily_maps!A:O,15,FALSE)</f>
        <v>Astraeos, Extinction, Ragnarok, Scorched Earth, The Center, The Island, Valguero</v>
      </c>
      <c r="E139" s="4">
        <v>175</v>
      </c>
      <c r="F139" s="1">
        <v>35</v>
      </c>
      <c r="G139" s="5">
        <v>5.4</v>
      </c>
      <c r="H139" s="4">
        <v>260</v>
      </c>
      <c r="I139" s="1">
        <v>26</v>
      </c>
      <c r="J139" s="5">
        <v>10</v>
      </c>
      <c r="K139" s="4">
        <v>150</v>
      </c>
      <c r="L139" s="1">
        <v>15</v>
      </c>
      <c r="M139" s="5">
        <v>10</v>
      </c>
      <c r="N139" s="4">
        <v>1200</v>
      </c>
      <c r="O139" s="1">
        <v>120</v>
      </c>
      <c r="P139" s="5">
        <v>10</v>
      </c>
      <c r="Q139" s="4">
        <v>170</v>
      </c>
      <c r="R139" s="1">
        <v>3.4</v>
      </c>
      <c r="S139" s="5">
        <v>4</v>
      </c>
      <c r="T139" s="4">
        <v>15</v>
      </c>
      <c r="U139" s="1">
        <v>0.75</v>
      </c>
      <c r="V139" s="5">
        <v>1.7</v>
      </c>
      <c r="W139" s="4">
        <v>100</v>
      </c>
      <c r="X139" s="5">
        <v>2.5</v>
      </c>
      <c r="Y139" s="4">
        <v>450</v>
      </c>
      <c r="Z139" s="5">
        <v>27</v>
      </c>
    </row>
    <row r="140" spans="1:26" x14ac:dyDescent="0.25">
      <c r="A140" s="2" t="s">
        <v>222</v>
      </c>
      <c r="B140" s="6" t="s">
        <v>175</v>
      </c>
      <c r="C140" s="6" t="s">
        <v>186</v>
      </c>
      <c r="D140" s="6" t="s">
        <v>196</v>
      </c>
      <c r="E140" s="4">
        <v>350000</v>
      </c>
      <c r="F140" s="5">
        <v>0</v>
      </c>
      <c r="G140" s="5">
        <v>0</v>
      </c>
      <c r="H140" s="4">
        <v>10000</v>
      </c>
      <c r="I140" s="5">
        <v>0</v>
      </c>
      <c r="J140" s="5">
        <v>0</v>
      </c>
      <c r="K140" s="4">
        <v>150</v>
      </c>
      <c r="L140" s="5">
        <v>0</v>
      </c>
      <c r="M140" s="5">
        <v>0</v>
      </c>
      <c r="N140" s="4">
        <v>864</v>
      </c>
      <c r="O140" s="5">
        <v>0</v>
      </c>
      <c r="P140" s="5">
        <v>0</v>
      </c>
      <c r="Q140" s="4">
        <v>50000</v>
      </c>
      <c r="R140" s="5">
        <v>0</v>
      </c>
      <c r="S140" s="5">
        <v>0</v>
      </c>
      <c r="T140" s="4">
        <v>2500</v>
      </c>
      <c r="U140" s="5">
        <v>0</v>
      </c>
      <c r="V140" s="5">
        <v>0</v>
      </c>
      <c r="W140" s="4">
        <v>100</v>
      </c>
      <c r="X140" s="5">
        <v>0</v>
      </c>
      <c r="Y140" s="4">
        <v>1218800</v>
      </c>
      <c r="Z140" s="5">
        <v>0</v>
      </c>
    </row>
    <row r="141" spans="1:26" x14ac:dyDescent="0.25">
      <c r="A141" s="2" t="s">
        <v>83</v>
      </c>
      <c r="B141" s="6" t="s">
        <v>230</v>
      </c>
      <c r="D141" s="6" t="str">
        <f>VLOOKUP(TRIM(A141),wikily_maps!A:O,15,FALSE)</f>
        <v>Astraeos, Crystal Isles, Extinction, Fjordur, Genesis 2, Genesis, Lost Island, Ragnarok, The Center, The Island, Valguero</v>
      </c>
      <c r="E141" s="4">
        <v>50</v>
      </c>
      <c r="F141" s="1">
        <v>10</v>
      </c>
      <c r="G141" s="5">
        <v>5.4</v>
      </c>
      <c r="H141" s="4">
        <v>150</v>
      </c>
      <c r="I141" s="1">
        <v>15</v>
      </c>
      <c r="J141" s="5">
        <v>10</v>
      </c>
      <c r="K141" s="4">
        <v>150</v>
      </c>
      <c r="L141" s="1">
        <v>15</v>
      </c>
      <c r="M141" s="5">
        <v>10</v>
      </c>
      <c r="N141" s="4">
        <v>1000</v>
      </c>
      <c r="O141" s="1">
        <v>100</v>
      </c>
      <c r="P141" s="5">
        <v>10</v>
      </c>
      <c r="Q141" s="4">
        <v>55</v>
      </c>
      <c r="R141" s="1">
        <v>1.1000000000000001</v>
      </c>
      <c r="S141" s="5">
        <v>4</v>
      </c>
      <c r="T141" s="4">
        <v>1</v>
      </c>
      <c r="U141" s="1">
        <v>0.05</v>
      </c>
      <c r="V141" s="5">
        <v>1.7</v>
      </c>
      <c r="W141" s="4">
        <v>100</v>
      </c>
      <c r="X141" s="5">
        <v>1</v>
      </c>
      <c r="Y141" s="4">
        <v>120</v>
      </c>
      <c r="Z141" s="5">
        <v>7.2</v>
      </c>
    </row>
    <row r="142" spans="1:26" x14ac:dyDescent="0.25">
      <c r="A142" s="2" t="s">
        <v>84</v>
      </c>
      <c r="B142" s="6" t="s">
        <v>230</v>
      </c>
      <c r="D142" s="6" t="str">
        <f>VLOOKUP(TRIM(A142),wikily_maps!A:O,15,FALSE)</f>
        <v>Astraeos, Crystal Isles, Fjordur, Genesis 2, Lost Island, Ragnarok, The Center, The Island, Valguero</v>
      </c>
      <c r="E142" s="4">
        <v>275</v>
      </c>
      <c r="F142" s="1">
        <v>13.75</v>
      </c>
      <c r="G142" s="5">
        <v>1.35</v>
      </c>
      <c r="H142" s="4">
        <v>300</v>
      </c>
      <c r="I142" s="1">
        <v>60</v>
      </c>
      <c r="J142" s="5">
        <v>20</v>
      </c>
      <c r="K142" s="4">
        <v>150</v>
      </c>
      <c r="L142" s="1">
        <v>15</v>
      </c>
      <c r="M142" s="5">
        <v>0</v>
      </c>
      <c r="N142" s="4">
        <v>1000</v>
      </c>
      <c r="O142" s="1">
        <v>100</v>
      </c>
      <c r="P142" s="5">
        <v>10</v>
      </c>
      <c r="Q142" s="4">
        <v>250</v>
      </c>
      <c r="R142" s="1">
        <v>5</v>
      </c>
      <c r="S142" s="5">
        <v>4</v>
      </c>
      <c r="T142" s="4">
        <v>15</v>
      </c>
      <c r="U142" s="1">
        <v>0.75</v>
      </c>
      <c r="V142" s="5">
        <v>0.85</v>
      </c>
      <c r="W142" s="4">
        <v>100</v>
      </c>
      <c r="X142" s="5">
        <v>1.5</v>
      </c>
      <c r="Y142" s="4">
        <v>300</v>
      </c>
      <c r="Z142" s="5">
        <v>18</v>
      </c>
    </row>
    <row r="143" spans="1:26" x14ac:dyDescent="0.25">
      <c r="A143" s="2" t="s">
        <v>85</v>
      </c>
      <c r="B143" s="6" t="s">
        <v>230</v>
      </c>
      <c r="D143" s="6" t="str">
        <f>VLOOKUP(TRIM(A143),wikily_maps!A:O,15,FALSE)</f>
        <v>Astraeos, Crystal Isles, Extinction, Fjordur, Genesis 2, Genesis, Lost Island, Ragnarok, Scorched Earth, The Center, The Island, Valguero</v>
      </c>
      <c r="E143" s="4">
        <v>250</v>
      </c>
      <c r="F143" s="1">
        <v>50</v>
      </c>
      <c r="G143" s="5">
        <v>5.4</v>
      </c>
      <c r="H143" s="4">
        <v>200</v>
      </c>
      <c r="I143" s="1">
        <v>20</v>
      </c>
      <c r="J143" s="5">
        <v>10</v>
      </c>
      <c r="K143" s="4">
        <v>150</v>
      </c>
      <c r="L143" s="1">
        <v>15</v>
      </c>
      <c r="M143" s="5">
        <v>10</v>
      </c>
      <c r="N143" s="4">
        <v>1800</v>
      </c>
      <c r="O143" s="1">
        <v>180</v>
      </c>
      <c r="P143" s="5">
        <v>10</v>
      </c>
      <c r="Q143" s="4">
        <v>375</v>
      </c>
      <c r="R143" s="1">
        <v>7.5</v>
      </c>
      <c r="S143" s="5">
        <v>4</v>
      </c>
      <c r="T143" s="4">
        <v>25</v>
      </c>
      <c r="U143" s="1">
        <v>1.25</v>
      </c>
      <c r="V143" s="5">
        <v>1.7</v>
      </c>
      <c r="W143" s="4">
        <v>100</v>
      </c>
      <c r="X143" s="5">
        <v>2</v>
      </c>
      <c r="Y143" s="4">
        <v>210</v>
      </c>
      <c r="Z143" s="5">
        <v>12.6</v>
      </c>
    </row>
    <row r="144" spans="1:26" x14ac:dyDescent="0.25">
      <c r="A144" s="2" t="s">
        <v>86</v>
      </c>
      <c r="B144" s="6" t="s">
        <v>230</v>
      </c>
      <c r="D144" s="6" t="str">
        <f>VLOOKUP(TRIM(A144),wikily_maps!A:O,15,FALSE)</f>
        <v>Crystal Isles, Genesis 2, Lost Island, Ragnarok, Scorched Earth, Valguero</v>
      </c>
      <c r="E144" s="4">
        <v>55</v>
      </c>
      <c r="F144" s="1">
        <v>11</v>
      </c>
      <c r="G144" s="5">
        <v>5.4</v>
      </c>
      <c r="H144" s="4">
        <v>100</v>
      </c>
      <c r="I144" s="1">
        <v>10</v>
      </c>
      <c r="J144" s="5">
        <v>10</v>
      </c>
      <c r="K144" s="4">
        <v>150</v>
      </c>
      <c r="L144" s="1">
        <v>15</v>
      </c>
      <c r="M144" s="5">
        <v>10</v>
      </c>
      <c r="N144" s="4">
        <v>450</v>
      </c>
      <c r="O144" s="1">
        <v>45</v>
      </c>
      <c r="P144" s="5">
        <v>10</v>
      </c>
      <c r="Q144" s="4">
        <v>120</v>
      </c>
      <c r="R144" s="1">
        <v>2.4</v>
      </c>
      <c r="S144" s="5">
        <v>4</v>
      </c>
      <c r="T144" s="4">
        <v>3</v>
      </c>
      <c r="U144" s="1">
        <v>0.15</v>
      </c>
      <c r="V144" s="5">
        <v>1.7</v>
      </c>
      <c r="W144" s="4">
        <v>100</v>
      </c>
      <c r="X144" s="5">
        <v>1</v>
      </c>
      <c r="Y144" s="4">
        <v>30</v>
      </c>
      <c r="Z144" s="5">
        <v>1.8</v>
      </c>
    </row>
    <row r="145" spans="1:26" x14ac:dyDescent="0.25">
      <c r="A145" s="2" t="s">
        <v>87</v>
      </c>
      <c r="B145" s="6" t="s">
        <v>230</v>
      </c>
      <c r="D145" s="6" t="str">
        <f>VLOOKUP(TRIM(A145),wikily_maps!A:O,15,FALSE)</f>
        <v>Astraeos, Crystal Isles, Extinction, Fjordur, Genesis, Lost Island, Ragnarok, The Center, The Island, Valguero</v>
      </c>
      <c r="E145" s="4">
        <v>95</v>
      </c>
      <c r="F145" s="1">
        <v>19</v>
      </c>
      <c r="G145" s="5">
        <v>5.4</v>
      </c>
      <c r="H145" s="4">
        <v>200</v>
      </c>
      <c r="I145" s="1">
        <v>20</v>
      </c>
      <c r="J145" s="5">
        <v>10</v>
      </c>
      <c r="K145" s="4">
        <v>0</v>
      </c>
      <c r="L145" s="1">
        <v>0</v>
      </c>
      <c r="M145" s="5">
        <v>0</v>
      </c>
      <c r="N145" s="4">
        <v>900</v>
      </c>
      <c r="O145" s="1">
        <v>90</v>
      </c>
      <c r="P145" s="5">
        <v>10</v>
      </c>
      <c r="Q145" s="4">
        <v>70</v>
      </c>
      <c r="R145" s="1">
        <v>1.4</v>
      </c>
      <c r="S145" s="5">
        <v>4</v>
      </c>
      <c r="T145" s="4">
        <v>8</v>
      </c>
      <c r="U145" s="1">
        <v>0.4</v>
      </c>
      <c r="V145" s="5">
        <v>1.7</v>
      </c>
      <c r="W145" s="4">
        <v>100</v>
      </c>
      <c r="X145" s="5">
        <v>1</v>
      </c>
      <c r="Y145" s="4">
        <v>300</v>
      </c>
      <c r="Z145" s="5">
        <v>18</v>
      </c>
    </row>
    <row r="146" spans="1:26" x14ac:dyDescent="0.25">
      <c r="A146" s="2" t="s">
        <v>88</v>
      </c>
      <c r="B146" s="6" t="s">
        <v>230</v>
      </c>
      <c r="D146" s="6" t="str">
        <f>VLOOKUP(TRIM(A146),wikily_maps!A:O,15,FALSE)</f>
        <v>Astraeos, Crystal Isles, Extinction, Fjordur, Genesis 2, Genesis, Lost Island, Ragnarok, Scorched Earth, The Center, The Island, Valguero</v>
      </c>
      <c r="E146" s="4">
        <v>200</v>
      </c>
      <c r="F146" s="1">
        <v>40</v>
      </c>
      <c r="G146" s="5">
        <v>5.4</v>
      </c>
      <c r="H146" s="4">
        <v>350</v>
      </c>
      <c r="I146" s="1">
        <v>35</v>
      </c>
      <c r="J146" s="5">
        <v>10</v>
      </c>
      <c r="K146" s="4">
        <v>0</v>
      </c>
      <c r="L146" s="1">
        <v>0</v>
      </c>
      <c r="M146" s="5">
        <v>0</v>
      </c>
      <c r="N146" s="4">
        <v>1200</v>
      </c>
      <c r="O146" s="1">
        <v>120</v>
      </c>
      <c r="P146" s="5">
        <v>10</v>
      </c>
      <c r="Q146" s="4">
        <v>140</v>
      </c>
      <c r="R146" s="1">
        <v>2.8</v>
      </c>
      <c r="S146" s="5">
        <v>4</v>
      </c>
      <c r="T146" s="4">
        <v>25</v>
      </c>
      <c r="U146" s="1">
        <v>1.25</v>
      </c>
      <c r="V146" s="5">
        <v>1.7</v>
      </c>
      <c r="W146" s="4">
        <v>100</v>
      </c>
      <c r="X146" s="5">
        <v>1</v>
      </c>
      <c r="Y146" s="4">
        <v>200</v>
      </c>
      <c r="Z146" s="5">
        <v>12</v>
      </c>
    </row>
    <row r="147" spans="1:26" x14ac:dyDescent="0.25">
      <c r="A147" s="2" t="s">
        <v>89</v>
      </c>
      <c r="B147" s="6" t="s">
        <v>230</v>
      </c>
      <c r="D147" s="6" t="str">
        <f>VLOOKUP(TRIM(A147),wikily_maps!A:O,15,FALSE)</f>
        <v>Aberration, Astraeos, Crystal Isles, Fjordur, Genesis 2, Genesis, Ragnarok, Valguero</v>
      </c>
      <c r="E147" s="4">
        <v>1200</v>
      </c>
      <c r="F147" s="1">
        <v>240</v>
      </c>
      <c r="G147" s="5">
        <v>5.4</v>
      </c>
      <c r="H147" s="4">
        <v>600</v>
      </c>
      <c r="I147" s="1">
        <v>60</v>
      </c>
      <c r="J147" s="5">
        <v>10</v>
      </c>
      <c r="K147" s="4">
        <v>0</v>
      </c>
      <c r="L147" s="1">
        <v>0</v>
      </c>
      <c r="M147" s="5">
        <v>0</v>
      </c>
      <c r="N147" s="4">
        <v>5000</v>
      </c>
      <c r="O147" s="1">
        <v>500</v>
      </c>
      <c r="P147" s="5">
        <v>10</v>
      </c>
      <c r="Q147" s="4">
        <v>800</v>
      </c>
      <c r="R147" s="1">
        <v>16</v>
      </c>
      <c r="S147" s="5">
        <v>4</v>
      </c>
      <c r="T147" s="4">
        <v>32</v>
      </c>
      <c r="U147" s="1">
        <v>1.6</v>
      </c>
      <c r="V147" s="5">
        <v>1.7</v>
      </c>
      <c r="W147" s="4">
        <v>100</v>
      </c>
      <c r="X147" s="5">
        <v>1</v>
      </c>
      <c r="Y147" s="4">
        <v>800</v>
      </c>
      <c r="Z147" s="5">
        <v>48</v>
      </c>
    </row>
    <row r="148" spans="1:26" x14ac:dyDescent="0.25">
      <c r="A148" s="2" t="s">
        <v>90</v>
      </c>
      <c r="B148" s="6" t="s">
        <v>230</v>
      </c>
      <c r="D148" s="6" t="str">
        <f>VLOOKUP(TRIM(A148),wikily_maps!A:O,15,FALSE)</f>
        <v>Astraeos, Crystal Isles, Extinction, Fjordur, Genesis 2, Genesis, Lost Island, Ragnarok, Scorched Earth, The Center, The Island, Valguero</v>
      </c>
      <c r="E148" s="4">
        <v>650</v>
      </c>
      <c r="F148" s="1">
        <v>130</v>
      </c>
      <c r="G148" s="5">
        <v>5.4</v>
      </c>
      <c r="H148" s="4">
        <v>300</v>
      </c>
      <c r="I148" s="1">
        <v>30</v>
      </c>
      <c r="J148" s="5">
        <v>10</v>
      </c>
      <c r="K148" s="4">
        <v>150</v>
      </c>
      <c r="L148" s="1">
        <v>15</v>
      </c>
      <c r="M148" s="5">
        <v>10</v>
      </c>
      <c r="N148" s="4">
        <v>6000</v>
      </c>
      <c r="O148" s="1">
        <v>600</v>
      </c>
      <c r="P148" s="5">
        <v>10</v>
      </c>
      <c r="Q148" s="4">
        <v>500</v>
      </c>
      <c r="R148" s="1">
        <v>10</v>
      </c>
      <c r="S148" s="5">
        <v>4</v>
      </c>
      <c r="T148" s="4">
        <v>10</v>
      </c>
      <c r="U148" s="1">
        <v>0.5</v>
      </c>
      <c r="V148" s="5">
        <v>1.7</v>
      </c>
      <c r="W148" s="4">
        <v>100</v>
      </c>
      <c r="X148" s="5">
        <v>1</v>
      </c>
      <c r="Y148" s="4">
        <v>500</v>
      </c>
      <c r="Z148" s="5">
        <v>30</v>
      </c>
    </row>
    <row r="149" spans="1:26" x14ac:dyDescent="0.25">
      <c r="A149" s="2" t="s">
        <v>223</v>
      </c>
      <c r="B149" s="6" t="s">
        <v>177</v>
      </c>
      <c r="C149" s="6" t="s">
        <v>724</v>
      </c>
      <c r="D149" s="6" t="s">
        <v>196</v>
      </c>
      <c r="E149" s="4">
        <v>1500000</v>
      </c>
      <c r="F149" s="5">
        <v>0</v>
      </c>
      <c r="G149" s="5">
        <v>0</v>
      </c>
      <c r="H149" s="4">
        <v>100000</v>
      </c>
      <c r="I149" s="5">
        <v>0</v>
      </c>
      <c r="J149" s="5">
        <v>0</v>
      </c>
      <c r="K149" s="4">
        <v>150</v>
      </c>
      <c r="L149" s="5">
        <v>0</v>
      </c>
      <c r="M149" s="5">
        <v>0</v>
      </c>
      <c r="N149" s="4">
        <v>100</v>
      </c>
      <c r="O149" s="5">
        <v>0</v>
      </c>
      <c r="P149" s="5">
        <v>0</v>
      </c>
      <c r="Q149" s="4">
        <v>100</v>
      </c>
      <c r="R149" s="5">
        <v>0</v>
      </c>
      <c r="S149" s="5">
        <v>0</v>
      </c>
      <c r="T149" s="4">
        <v>1200</v>
      </c>
      <c r="U149" s="5">
        <v>0</v>
      </c>
      <c r="V149" s="5">
        <v>0</v>
      </c>
      <c r="W149" s="4">
        <v>100</v>
      </c>
      <c r="X149" s="5">
        <v>0</v>
      </c>
      <c r="Y149" s="4">
        <v>100</v>
      </c>
      <c r="Z149" s="5">
        <v>0</v>
      </c>
    </row>
    <row r="150" spans="1:26" x14ac:dyDescent="0.25">
      <c r="A150" s="2" t="s">
        <v>223</v>
      </c>
      <c r="B150" s="6" t="s">
        <v>176</v>
      </c>
      <c r="C150" s="6" t="s">
        <v>725</v>
      </c>
      <c r="D150" s="6" t="s">
        <v>196</v>
      </c>
      <c r="E150" s="4">
        <v>1500000</v>
      </c>
      <c r="F150" s="5">
        <v>0</v>
      </c>
      <c r="G150" s="5">
        <v>0</v>
      </c>
      <c r="H150" s="4">
        <v>100000</v>
      </c>
      <c r="I150" s="5">
        <v>0</v>
      </c>
      <c r="J150" s="5">
        <v>0</v>
      </c>
      <c r="K150" s="4">
        <v>150</v>
      </c>
      <c r="L150" s="5">
        <v>0</v>
      </c>
      <c r="M150" s="5">
        <v>0</v>
      </c>
      <c r="N150" s="4">
        <v>100</v>
      </c>
      <c r="O150" s="5">
        <v>0</v>
      </c>
      <c r="P150" s="5">
        <v>0</v>
      </c>
      <c r="Q150" s="4">
        <v>100</v>
      </c>
      <c r="R150" s="5">
        <v>0</v>
      </c>
      <c r="S150" s="5">
        <v>0</v>
      </c>
      <c r="T150" s="4">
        <v>1500</v>
      </c>
      <c r="U150" s="5">
        <v>0</v>
      </c>
      <c r="V150" s="5">
        <v>0</v>
      </c>
      <c r="W150" s="4">
        <v>100</v>
      </c>
      <c r="X150" s="5">
        <v>0</v>
      </c>
      <c r="Y150" s="4">
        <v>100</v>
      </c>
      <c r="Z150" s="5">
        <v>0</v>
      </c>
    </row>
    <row r="151" spans="1:26" x14ac:dyDescent="0.25">
      <c r="A151" s="2" t="s">
        <v>223</v>
      </c>
      <c r="B151" s="6" t="s">
        <v>178</v>
      </c>
      <c r="C151" s="6" t="s">
        <v>726</v>
      </c>
      <c r="D151" s="6" t="s">
        <v>196</v>
      </c>
      <c r="E151" s="4">
        <v>1500000</v>
      </c>
      <c r="F151" s="5">
        <v>0</v>
      </c>
      <c r="G151" s="5">
        <v>0</v>
      </c>
      <c r="H151" s="4">
        <v>1000000</v>
      </c>
      <c r="I151" s="5">
        <v>0</v>
      </c>
      <c r="J151" s="5">
        <v>0</v>
      </c>
      <c r="K151" s="4">
        <v>150</v>
      </c>
      <c r="L151" s="5">
        <v>0</v>
      </c>
      <c r="M151" s="5">
        <v>0</v>
      </c>
      <c r="N151" s="4">
        <v>100</v>
      </c>
      <c r="O151" s="5">
        <v>0</v>
      </c>
      <c r="P151" s="5">
        <v>0</v>
      </c>
      <c r="Q151" s="4">
        <v>100</v>
      </c>
      <c r="R151" s="5">
        <v>0</v>
      </c>
      <c r="S151" s="5">
        <v>0</v>
      </c>
      <c r="T151" s="4">
        <v>900</v>
      </c>
      <c r="U151" s="5">
        <v>0</v>
      </c>
      <c r="V151" s="5">
        <v>0</v>
      </c>
      <c r="W151" s="4">
        <v>100</v>
      </c>
      <c r="X151" s="5">
        <v>0</v>
      </c>
      <c r="Y151" s="4">
        <v>100</v>
      </c>
      <c r="Z151" s="5">
        <v>0</v>
      </c>
    </row>
    <row r="152" spans="1:26" x14ac:dyDescent="0.25">
      <c r="A152" s="2" t="s">
        <v>91</v>
      </c>
      <c r="B152" s="6" t="s">
        <v>230</v>
      </c>
      <c r="D152" s="6" t="str">
        <f>VLOOKUP(TRIM(A152),wikily_maps!A:O,15,FALSE)</f>
        <v>Crystal Isles, Fjordur, Genesis 2, Genesis, Lost Island, The Center, The Island, Valguero</v>
      </c>
      <c r="E152" s="4">
        <v>4400</v>
      </c>
      <c r="F152" s="1">
        <v>528</v>
      </c>
      <c r="G152" s="5">
        <v>5.4</v>
      </c>
      <c r="H152" s="4">
        <v>500</v>
      </c>
      <c r="I152" s="1">
        <v>50</v>
      </c>
      <c r="J152" s="5">
        <v>10</v>
      </c>
      <c r="K152" s="4">
        <v>0</v>
      </c>
      <c r="L152" s="1">
        <v>0</v>
      </c>
      <c r="M152" s="5">
        <v>0</v>
      </c>
      <c r="N152" s="4">
        <v>8000</v>
      </c>
      <c r="O152" s="1">
        <v>800</v>
      </c>
      <c r="P152" s="5">
        <v>10</v>
      </c>
      <c r="Q152" s="4">
        <v>1800</v>
      </c>
      <c r="R152" s="1">
        <v>36</v>
      </c>
      <c r="S152" s="5">
        <v>4</v>
      </c>
      <c r="T152" s="4">
        <v>115</v>
      </c>
      <c r="U152" s="1">
        <v>3.6</v>
      </c>
      <c r="V152" s="5">
        <v>1.7</v>
      </c>
      <c r="W152" s="4">
        <v>100</v>
      </c>
      <c r="X152" s="5">
        <v>0</v>
      </c>
      <c r="Y152" s="4">
        <v>4500</v>
      </c>
      <c r="Z152" s="5">
        <v>270</v>
      </c>
    </row>
    <row r="153" spans="1:26" x14ac:dyDescent="0.25">
      <c r="A153" s="2" t="s">
        <v>92</v>
      </c>
      <c r="B153" s="6" t="s">
        <v>230</v>
      </c>
      <c r="D153" s="6" t="str">
        <f>VLOOKUP(TRIM(A153),wikily_maps!A:O,15,FALSE)</f>
        <v>Astraeos, Crystal Isles, Fjordur, Genesis 2, Lost Island, Ragnarok, The Center, The Island, Valguero</v>
      </c>
      <c r="E153" s="4">
        <v>3200</v>
      </c>
      <c r="F153" s="1">
        <v>640</v>
      </c>
      <c r="G153" s="5">
        <v>5.4</v>
      </c>
      <c r="H153" s="4">
        <v>800</v>
      </c>
      <c r="I153" s="1">
        <v>80</v>
      </c>
      <c r="J153" s="5">
        <v>10</v>
      </c>
      <c r="K153" s="4">
        <v>0</v>
      </c>
      <c r="L153" s="1">
        <v>0</v>
      </c>
      <c r="M153" s="5">
        <v>0</v>
      </c>
      <c r="N153" s="4">
        <v>2000</v>
      </c>
      <c r="O153" s="1">
        <v>200</v>
      </c>
      <c r="P153" s="5">
        <v>10</v>
      </c>
      <c r="Q153" s="4">
        <v>1000</v>
      </c>
      <c r="R153" s="1">
        <v>20</v>
      </c>
      <c r="S153" s="5">
        <v>4</v>
      </c>
      <c r="T153" s="4">
        <v>40</v>
      </c>
      <c r="U153" s="1">
        <v>2</v>
      </c>
      <c r="V153" s="5">
        <v>1.7</v>
      </c>
      <c r="W153" s="4">
        <v>100</v>
      </c>
      <c r="X153" s="5">
        <v>1</v>
      </c>
      <c r="Y153" s="4">
        <v>800</v>
      </c>
      <c r="Z153" s="5">
        <v>48</v>
      </c>
    </row>
    <row r="154" spans="1:26" x14ac:dyDescent="0.25">
      <c r="A154" s="2" t="s">
        <v>93</v>
      </c>
      <c r="B154" s="6" t="s">
        <v>230</v>
      </c>
      <c r="D154" s="6" t="str">
        <f>VLOOKUP(TRIM(A154),wikily_maps!A:O,15,FALSE)</f>
        <v>Crystal Isles, Extinction, Genesis 2, Lost Island, Scorched Earth</v>
      </c>
      <c r="E154" s="4">
        <v>260</v>
      </c>
      <c r="F154" s="1">
        <v>52</v>
      </c>
      <c r="G154" s="5">
        <v>5.4</v>
      </c>
      <c r="H154" s="4">
        <v>150</v>
      </c>
      <c r="I154" s="1">
        <v>7.5</v>
      </c>
      <c r="J154" s="5">
        <v>6</v>
      </c>
      <c r="K154" s="4">
        <v>150</v>
      </c>
      <c r="L154" s="1">
        <v>15</v>
      </c>
      <c r="M154" s="5">
        <v>10</v>
      </c>
      <c r="N154" s="4">
        <v>2000</v>
      </c>
      <c r="O154" s="1">
        <v>200</v>
      </c>
      <c r="P154" s="5">
        <v>10</v>
      </c>
      <c r="Q154" s="4">
        <v>175</v>
      </c>
      <c r="R154" s="1">
        <v>3.5</v>
      </c>
      <c r="S154" s="5">
        <v>3</v>
      </c>
      <c r="T154" s="4">
        <v>18</v>
      </c>
      <c r="U154" s="1">
        <v>0.9</v>
      </c>
      <c r="V154" s="5">
        <v>1.7</v>
      </c>
      <c r="W154" s="4">
        <v>100</v>
      </c>
      <c r="X154" s="5">
        <v>0</v>
      </c>
      <c r="Y154" s="4">
        <v>550</v>
      </c>
      <c r="Z154" s="5">
        <v>33</v>
      </c>
    </row>
    <row r="155" spans="1:26" x14ac:dyDescent="0.25">
      <c r="A155" s="2" t="s">
        <v>94</v>
      </c>
      <c r="B155" s="6" t="s">
        <v>230</v>
      </c>
      <c r="D155" s="6" t="str">
        <f>VLOOKUP(TRIM(A155),wikily_maps!A:O,15,FALSE)</f>
        <v>Astraeos, Crystal Isles, Extinction, Fjordur, Genesis 2, Genesis, Lost Island, Ragnarok, Scorched Earth, The Center, The Island, Valguero</v>
      </c>
      <c r="E155" s="4">
        <v>90</v>
      </c>
      <c r="F155" s="1">
        <v>18</v>
      </c>
      <c r="G155" s="5">
        <v>5.4</v>
      </c>
      <c r="H155" s="4">
        <v>100</v>
      </c>
      <c r="I155" s="1">
        <v>10</v>
      </c>
      <c r="J155" s="5">
        <v>10</v>
      </c>
      <c r="K155" s="4">
        <v>215</v>
      </c>
      <c r="L155" s="1">
        <v>21.5</v>
      </c>
      <c r="M155" s="5">
        <v>10</v>
      </c>
      <c r="N155" s="4">
        <v>500</v>
      </c>
      <c r="O155" s="1">
        <v>50</v>
      </c>
      <c r="P155" s="5">
        <v>10</v>
      </c>
      <c r="Q155" s="4">
        <v>90</v>
      </c>
      <c r="R155" s="1">
        <v>1.8</v>
      </c>
      <c r="S155" s="5">
        <v>4</v>
      </c>
      <c r="T155" s="4">
        <v>6</v>
      </c>
      <c r="U155" s="1">
        <v>0.3</v>
      </c>
      <c r="V155" s="5">
        <v>1.7</v>
      </c>
      <c r="W155" s="4">
        <v>100</v>
      </c>
      <c r="X155" s="5">
        <v>1</v>
      </c>
      <c r="Y155" s="4">
        <v>100</v>
      </c>
      <c r="Z155" s="5">
        <v>6</v>
      </c>
    </row>
    <row r="156" spans="1:26" x14ac:dyDescent="0.25">
      <c r="A156" s="2" t="s">
        <v>95</v>
      </c>
      <c r="B156" s="6" t="s">
        <v>230</v>
      </c>
      <c r="D156" s="6" t="str">
        <f>VLOOKUP(TRIM(A156),wikily_maps!A:O,15,FALSE)</f>
        <v>Astraeos</v>
      </c>
      <c r="E156" s="4">
        <v>700</v>
      </c>
      <c r="F156" s="1">
        <v>59.5</v>
      </c>
      <c r="G156" s="12">
        <v>4027</v>
      </c>
      <c r="H156" s="4">
        <v>450</v>
      </c>
      <c r="I156" s="1">
        <v>22.5</v>
      </c>
      <c r="J156" s="5">
        <v>5</v>
      </c>
      <c r="K156" s="4">
        <v>150</v>
      </c>
      <c r="L156" s="1">
        <v>0</v>
      </c>
      <c r="M156" s="5">
        <v>0</v>
      </c>
      <c r="N156" s="4">
        <v>2000</v>
      </c>
      <c r="O156" s="1">
        <v>200</v>
      </c>
      <c r="P156" s="5">
        <v>10</v>
      </c>
      <c r="Q156" s="4">
        <v>400</v>
      </c>
      <c r="R156" s="1">
        <v>8</v>
      </c>
      <c r="S156" s="5">
        <v>4</v>
      </c>
      <c r="T156" s="4">
        <v>20</v>
      </c>
      <c r="U156" s="1">
        <v>1</v>
      </c>
      <c r="V156" s="5">
        <v>1.7</v>
      </c>
      <c r="W156" s="4">
        <v>100</v>
      </c>
      <c r="X156" s="5">
        <v>1</v>
      </c>
      <c r="Y156" s="4">
        <v>100</v>
      </c>
      <c r="Z156" s="5">
        <v>6</v>
      </c>
    </row>
    <row r="157" spans="1:26" x14ac:dyDescent="0.25">
      <c r="A157" s="2" t="s">
        <v>96</v>
      </c>
      <c r="B157" s="6" t="s">
        <v>230</v>
      </c>
      <c r="D157" s="6" t="str">
        <f>VLOOKUP(TRIM(A157),wikily_maps!A:O,15,FALSE)</f>
        <v>Fjordur, Genesis 2, Lost Island</v>
      </c>
      <c r="E157" s="4">
        <v>700</v>
      </c>
      <c r="F157" s="1">
        <v>59.5</v>
      </c>
      <c r="G157" s="5">
        <v>4.05</v>
      </c>
      <c r="H157" s="4">
        <v>450</v>
      </c>
      <c r="I157" s="1">
        <v>22.5</v>
      </c>
      <c r="J157" s="5">
        <v>5</v>
      </c>
      <c r="K157" s="4">
        <v>150</v>
      </c>
      <c r="L157" s="1">
        <v>15</v>
      </c>
      <c r="M157" s="5">
        <v>10</v>
      </c>
      <c r="N157" s="4">
        <v>2000</v>
      </c>
      <c r="O157" s="1">
        <v>200</v>
      </c>
      <c r="P157" s="5">
        <v>10</v>
      </c>
      <c r="Q157" s="4">
        <v>400</v>
      </c>
      <c r="R157" s="1">
        <v>8</v>
      </c>
      <c r="S157" s="5">
        <v>4</v>
      </c>
      <c r="T157" s="4">
        <v>20</v>
      </c>
      <c r="U157" s="1">
        <v>1</v>
      </c>
      <c r="V157" s="5">
        <v>1.7</v>
      </c>
      <c r="W157" s="4">
        <v>100</v>
      </c>
      <c r="X157" s="5">
        <v>1</v>
      </c>
      <c r="Y157" s="4">
        <v>100</v>
      </c>
      <c r="Z157" s="5">
        <v>6</v>
      </c>
    </row>
    <row r="158" spans="1:26" x14ac:dyDescent="0.25">
      <c r="A158" s="2" t="s">
        <v>97</v>
      </c>
      <c r="B158" s="6" t="s">
        <v>230</v>
      </c>
      <c r="D158" s="6" t="str">
        <f>VLOOKUP(TRIM(A158),wikily_maps!A:O,15,FALSE)</f>
        <v>Fjordur, Genesis, Lost Island</v>
      </c>
      <c r="E158" s="4">
        <v>3000</v>
      </c>
      <c r="F158" s="1">
        <v>150</v>
      </c>
      <c r="G158" s="5">
        <v>2.7</v>
      </c>
      <c r="H158" s="4">
        <v>500</v>
      </c>
      <c r="I158" s="1">
        <v>25</v>
      </c>
      <c r="J158" s="5">
        <v>5</v>
      </c>
      <c r="K158" s="4">
        <v>200</v>
      </c>
      <c r="L158" s="1">
        <v>20</v>
      </c>
      <c r="M158" s="5">
        <v>10</v>
      </c>
      <c r="N158" s="4">
        <v>2000</v>
      </c>
      <c r="O158" s="1">
        <v>200</v>
      </c>
      <c r="P158" s="5">
        <v>10</v>
      </c>
      <c r="Q158" s="4">
        <v>550</v>
      </c>
      <c r="R158" s="1">
        <v>11</v>
      </c>
      <c r="S158" s="5">
        <v>4</v>
      </c>
      <c r="T158" s="4">
        <v>120</v>
      </c>
      <c r="U158" s="1">
        <v>3.6</v>
      </c>
      <c r="V158" s="5">
        <v>0.51</v>
      </c>
      <c r="W158" s="4">
        <v>100</v>
      </c>
      <c r="X158" s="5">
        <v>0.5</v>
      </c>
      <c r="Y158" s="4">
        <v>725</v>
      </c>
      <c r="Z158" s="5">
        <v>43.5</v>
      </c>
    </row>
    <row r="159" spans="1:26" x14ac:dyDescent="0.25">
      <c r="A159" s="2" t="s">
        <v>98</v>
      </c>
      <c r="B159" s="6" t="s">
        <v>230</v>
      </c>
      <c r="D159" s="6" t="str">
        <f>VLOOKUP(TRIM(A159),wikily_maps!A:O,15,FALSE)</f>
        <v>Astraeos, Crystal Isles, Extinction, Fjordur, Genesis 2, Genesis, Lost Island, Ragnarok, The Center, The Island, Valguero</v>
      </c>
      <c r="E159" s="4">
        <v>1020</v>
      </c>
      <c r="F159" s="1">
        <v>204</v>
      </c>
      <c r="G159" s="5">
        <v>5.4</v>
      </c>
      <c r="H159" s="4">
        <v>330</v>
      </c>
      <c r="I159" s="1">
        <v>33</v>
      </c>
      <c r="J159" s="5">
        <v>10</v>
      </c>
      <c r="K159" s="4">
        <v>150</v>
      </c>
      <c r="L159" s="1">
        <v>15</v>
      </c>
      <c r="M159" s="5">
        <v>10</v>
      </c>
      <c r="N159" s="4">
        <v>5000</v>
      </c>
      <c r="O159" s="1">
        <v>500</v>
      </c>
      <c r="P159" s="5">
        <v>10</v>
      </c>
      <c r="Q159" s="4">
        <v>500</v>
      </c>
      <c r="R159" s="1">
        <v>10</v>
      </c>
      <c r="S159" s="5">
        <v>4</v>
      </c>
      <c r="T159" s="4">
        <v>48</v>
      </c>
      <c r="U159" s="1">
        <v>2.4</v>
      </c>
      <c r="V159" s="5">
        <v>1.7</v>
      </c>
      <c r="W159" s="4">
        <v>100</v>
      </c>
      <c r="X159" s="5">
        <v>1.5</v>
      </c>
      <c r="Y159" s="4">
        <v>550</v>
      </c>
      <c r="Z159" s="5">
        <v>33</v>
      </c>
    </row>
    <row r="160" spans="1:26" x14ac:dyDescent="0.25">
      <c r="A160" s="2" t="s">
        <v>99</v>
      </c>
      <c r="B160" s="6" t="s">
        <v>230</v>
      </c>
      <c r="D160" s="6" t="str">
        <f>VLOOKUP(TRIM(A160),wikily_maps!A:O,15,FALSE)</f>
        <v>Astraeos, Extinction, Genesis 2, Lost Island</v>
      </c>
      <c r="E160" s="4">
        <v>825</v>
      </c>
      <c r="F160" s="1">
        <v>165</v>
      </c>
      <c r="G160" s="5">
        <v>5.4</v>
      </c>
      <c r="H160" s="4">
        <v>300</v>
      </c>
      <c r="I160" s="1">
        <v>30</v>
      </c>
      <c r="J160" s="5">
        <v>6</v>
      </c>
      <c r="K160" s="4">
        <v>150</v>
      </c>
      <c r="L160" s="1">
        <v>15</v>
      </c>
      <c r="M160" s="5">
        <v>10</v>
      </c>
      <c r="N160" s="4">
        <v>2000</v>
      </c>
      <c r="O160" s="1">
        <v>200</v>
      </c>
      <c r="P160" s="5">
        <v>10</v>
      </c>
      <c r="Q160" s="4">
        <v>300</v>
      </c>
      <c r="R160" s="1">
        <v>6</v>
      </c>
      <c r="S160" s="5">
        <v>4</v>
      </c>
      <c r="T160" s="4">
        <v>35</v>
      </c>
      <c r="U160" s="1">
        <v>1.75</v>
      </c>
      <c r="V160" s="5">
        <v>1.7</v>
      </c>
      <c r="W160" s="4">
        <v>150</v>
      </c>
      <c r="X160" s="5">
        <v>0.35</v>
      </c>
      <c r="Y160" s="4">
        <v>800</v>
      </c>
      <c r="Z160" s="5">
        <v>48</v>
      </c>
    </row>
    <row r="161" spans="1:26" x14ac:dyDescent="0.25">
      <c r="A161" s="2" t="s">
        <v>100</v>
      </c>
      <c r="B161" s="6" t="s">
        <v>230</v>
      </c>
      <c r="D161" s="6" t="str">
        <f>VLOOKUP(TRIM(A161),wikily_maps!A:O,15,FALSE)</f>
        <v>Astraeos, Crystal Isles, Fjordur, Genesis 2, Genesis, Lost Island, Ragnarok, The Center, The Island, Valguero</v>
      </c>
      <c r="E161" s="4">
        <v>320</v>
      </c>
      <c r="F161" s="1">
        <v>16</v>
      </c>
      <c r="G161" s="5">
        <v>1.35</v>
      </c>
      <c r="H161" s="4">
        <v>270</v>
      </c>
      <c r="I161" s="1">
        <v>54</v>
      </c>
      <c r="J161" s="5">
        <v>20</v>
      </c>
      <c r="K161" s="4">
        <v>0</v>
      </c>
      <c r="L161" s="1">
        <v>0</v>
      </c>
      <c r="M161" s="5">
        <v>0</v>
      </c>
      <c r="N161" s="4">
        <v>1000</v>
      </c>
      <c r="O161" s="1">
        <v>100</v>
      </c>
      <c r="P161" s="5">
        <v>10</v>
      </c>
      <c r="Q161" s="4">
        <v>200</v>
      </c>
      <c r="R161" s="1">
        <v>4</v>
      </c>
      <c r="S161" s="5">
        <v>4</v>
      </c>
      <c r="T161" s="4">
        <v>28</v>
      </c>
      <c r="U161" s="1">
        <v>1.4</v>
      </c>
      <c r="V161" s="5">
        <v>0.85</v>
      </c>
      <c r="W161" s="4">
        <v>100</v>
      </c>
      <c r="X161" s="5">
        <v>1.25</v>
      </c>
      <c r="Y161" s="4">
        <v>700</v>
      </c>
      <c r="Z161" s="5">
        <v>42</v>
      </c>
    </row>
    <row r="162" spans="1:26" x14ac:dyDescent="0.25">
      <c r="A162" s="2" t="s">
        <v>224</v>
      </c>
      <c r="B162" s="6" t="s">
        <v>178</v>
      </c>
      <c r="C162" s="6" t="s">
        <v>727</v>
      </c>
      <c r="D162" s="6" t="s">
        <v>202</v>
      </c>
      <c r="E162" s="4">
        <v>100000</v>
      </c>
      <c r="F162" s="5">
        <v>0</v>
      </c>
      <c r="G162" s="5">
        <v>0</v>
      </c>
      <c r="H162" s="4">
        <v>400</v>
      </c>
      <c r="I162" s="5">
        <v>0</v>
      </c>
      <c r="J162" s="5">
        <v>0</v>
      </c>
      <c r="K162" s="4">
        <v>2000</v>
      </c>
      <c r="L162" s="5">
        <v>0</v>
      </c>
      <c r="M162" s="5">
        <v>0</v>
      </c>
      <c r="N162" s="4">
        <v>2600</v>
      </c>
      <c r="O162" s="5">
        <v>0</v>
      </c>
      <c r="P162" s="5">
        <v>0</v>
      </c>
      <c r="Q162" s="4">
        <v>3000</v>
      </c>
      <c r="R162" s="5">
        <v>0</v>
      </c>
      <c r="S162" s="5">
        <v>0</v>
      </c>
      <c r="T162" s="4">
        <v>85</v>
      </c>
      <c r="U162" s="5">
        <v>0</v>
      </c>
      <c r="V162" s="5">
        <v>0</v>
      </c>
      <c r="W162" s="4">
        <v>100</v>
      </c>
      <c r="X162" s="5">
        <v>0</v>
      </c>
      <c r="Y162" s="4">
        <v>350</v>
      </c>
      <c r="Z162" s="5">
        <v>0</v>
      </c>
    </row>
    <row r="163" spans="1:26" x14ac:dyDescent="0.25">
      <c r="A163" s="2" t="s">
        <v>224</v>
      </c>
      <c r="B163" s="6" t="s">
        <v>177</v>
      </c>
      <c r="C163" s="6" t="s">
        <v>728</v>
      </c>
      <c r="D163" s="6" t="s">
        <v>202</v>
      </c>
      <c r="E163" s="4">
        <v>130000</v>
      </c>
      <c r="F163" s="5">
        <v>0</v>
      </c>
      <c r="G163" s="5">
        <v>0</v>
      </c>
      <c r="H163" s="4">
        <v>400</v>
      </c>
      <c r="I163" s="5">
        <v>0</v>
      </c>
      <c r="J163" s="5">
        <v>0</v>
      </c>
      <c r="K163" s="4">
        <v>2000</v>
      </c>
      <c r="L163" s="5">
        <v>0</v>
      </c>
      <c r="M163" s="5">
        <v>0</v>
      </c>
      <c r="N163" s="4">
        <v>2600</v>
      </c>
      <c r="O163" s="5">
        <v>0</v>
      </c>
      <c r="P163" s="5">
        <v>0</v>
      </c>
      <c r="Q163" s="4">
        <v>3000</v>
      </c>
      <c r="R163" s="5">
        <v>0</v>
      </c>
      <c r="S163" s="5">
        <v>0</v>
      </c>
      <c r="T163" s="4">
        <v>1100</v>
      </c>
      <c r="U163" s="5">
        <v>0</v>
      </c>
      <c r="V163" s="5">
        <v>0</v>
      </c>
      <c r="W163" s="4">
        <v>100</v>
      </c>
      <c r="X163" s="5">
        <v>0</v>
      </c>
      <c r="Y163" s="4">
        <v>350</v>
      </c>
      <c r="Z163" s="5">
        <v>0</v>
      </c>
    </row>
    <row r="164" spans="1:26" x14ac:dyDescent="0.25">
      <c r="A164" s="2" t="s">
        <v>224</v>
      </c>
      <c r="B164" s="6" t="s">
        <v>176</v>
      </c>
      <c r="C164" s="6" t="s">
        <v>729</v>
      </c>
      <c r="D164" s="6" t="s">
        <v>202</v>
      </c>
      <c r="E164" s="4">
        <v>160000</v>
      </c>
      <c r="F164" s="5">
        <v>0</v>
      </c>
      <c r="G164" s="5">
        <v>0</v>
      </c>
      <c r="H164" s="4">
        <v>400</v>
      </c>
      <c r="I164" s="5">
        <v>0</v>
      </c>
      <c r="J164" s="5">
        <v>0</v>
      </c>
      <c r="K164" s="4">
        <v>2000</v>
      </c>
      <c r="L164" s="5">
        <v>0</v>
      </c>
      <c r="M164" s="5">
        <v>0</v>
      </c>
      <c r="N164" s="4">
        <v>2600</v>
      </c>
      <c r="O164" s="5">
        <v>0</v>
      </c>
      <c r="P164" s="5">
        <v>0</v>
      </c>
      <c r="Q164" s="4">
        <v>3000</v>
      </c>
      <c r="R164" s="5">
        <v>0</v>
      </c>
      <c r="S164" s="5">
        <v>0</v>
      </c>
      <c r="T164" s="4">
        <v>1200</v>
      </c>
      <c r="U164" s="5">
        <v>0</v>
      </c>
      <c r="V164" s="5">
        <v>0</v>
      </c>
      <c r="W164" s="4">
        <v>100</v>
      </c>
      <c r="X164" s="5">
        <v>0</v>
      </c>
      <c r="Y164" s="4">
        <v>350</v>
      </c>
      <c r="Z164" s="5">
        <v>0</v>
      </c>
    </row>
    <row r="165" spans="1:26" x14ac:dyDescent="0.25">
      <c r="A165" s="2" t="s">
        <v>101</v>
      </c>
      <c r="B165" s="6" t="s">
        <v>230</v>
      </c>
      <c r="D165" s="6" t="str">
        <f>VLOOKUP(TRIM(A165),wikily_maps!A:O,15,FALSE)</f>
        <v>Astraeos, Crystal Isles, Extinction, Fjordur, Genesis 2, Lost Island, Scorched Earth, Valguero</v>
      </c>
      <c r="E165" s="4">
        <v>275</v>
      </c>
      <c r="F165" s="1">
        <v>55</v>
      </c>
      <c r="G165" s="5">
        <v>2.7</v>
      </c>
      <c r="H165" s="4">
        <v>150</v>
      </c>
      <c r="I165" s="1">
        <v>15</v>
      </c>
      <c r="J165" s="5">
        <v>10</v>
      </c>
      <c r="K165" s="4">
        <v>150</v>
      </c>
      <c r="L165" s="1">
        <v>15</v>
      </c>
      <c r="M165" s="5">
        <v>10</v>
      </c>
      <c r="N165" s="4">
        <v>900</v>
      </c>
      <c r="O165" s="1">
        <v>90</v>
      </c>
      <c r="P165" s="5">
        <v>10</v>
      </c>
      <c r="Q165" s="4">
        <v>220</v>
      </c>
      <c r="R165" s="1">
        <v>4.4000000000000004</v>
      </c>
      <c r="S165" s="5">
        <v>8</v>
      </c>
      <c r="T165" s="4">
        <v>34</v>
      </c>
      <c r="U165" s="1">
        <v>0.85</v>
      </c>
      <c r="V165" s="5">
        <v>1.7</v>
      </c>
      <c r="W165" s="4">
        <v>100</v>
      </c>
      <c r="X165" s="5">
        <v>1</v>
      </c>
      <c r="Y165" s="4">
        <v>350</v>
      </c>
      <c r="Z165" s="5">
        <v>21</v>
      </c>
    </row>
    <row r="166" spans="1:26" x14ac:dyDescent="0.25">
      <c r="A166" s="2" t="s">
        <v>102</v>
      </c>
      <c r="B166" s="6" t="s">
        <v>230</v>
      </c>
      <c r="D166" s="6" t="str">
        <f>VLOOKUP(TRIM(A166),wikily_maps!A:O,15,FALSE)</f>
        <v>Fjordur, Genesis, Lost Island</v>
      </c>
      <c r="E166" s="4">
        <v>1920</v>
      </c>
      <c r="F166" s="1">
        <v>384</v>
      </c>
      <c r="G166" s="5">
        <v>4.59</v>
      </c>
      <c r="H166" s="4">
        <v>100</v>
      </c>
      <c r="I166" s="1">
        <v>10</v>
      </c>
      <c r="J166" s="5">
        <v>10</v>
      </c>
      <c r="K166" s="4">
        <v>150</v>
      </c>
      <c r="L166" s="1">
        <v>15</v>
      </c>
      <c r="M166" s="5">
        <v>10</v>
      </c>
      <c r="N166" s="4">
        <v>8800</v>
      </c>
      <c r="O166" s="1">
        <v>880</v>
      </c>
      <c r="P166" s="5">
        <v>10</v>
      </c>
      <c r="Q166" s="4">
        <v>2500</v>
      </c>
      <c r="R166" s="1">
        <v>50</v>
      </c>
      <c r="S166" s="5">
        <v>4</v>
      </c>
      <c r="T166" s="4">
        <v>125</v>
      </c>
      <c r="U166" s="1">
        <v>6.25</v>
      </c>
      <c r="V166" s="5">
        <v>1.7</v>
      </c>
      <c r="W166" s="4">
        <v>100</v>
      </c>
      <c r="X166" s="5">
        <v>1</v>
      </c>
      <c r="Y166" s="4">
        <v>10000</v>
      </c>
      <c r="Z166" s="5">
        <v>600</v>
      </c>
    </row>
    <row r="167" spans="1:26" x14ac:dyDescent="0.25">
      <c r="A167" s="2" t="s">
        <v>103</v>
      </c>
      <c r="B167" s="6" t="s">
        <v>230</v>
      </c>
      <c r="D167" s="6" t="str">
        <f>VLOOKUP(TRIM(A167),wikily_maps!A:O,15,FALSE)</f>
        <v>Astraeos, Crystal Isles, Extinction, Fjordur, Genesis, Lost Island, Ragnarok, Scorched Earth, The Center, The Island, Valguero</v>
      </c>
      <c r="E167" s="4">
        <v>480</v>
      </c>
      <c r="F167" s="1">
        <v>96</v>
      </c>
      <c r="G167" s="5">
        <v>5.4</v>
      </c>
      <c r="H167" s="4">
        <v>400</v>
      </c>
      <c r="I167" s="1">
        <v>40</v>
      </c>
      <c r="J167" s="5">
        <v>10</v>
      </c>
      <c r="K167" s="4">
        <v>200</v>
      </c>
      <c r="L167" s="1">
        <v>20</v>
      </c>
      <c r="M167" s="5">
        <v>10</v>
      </c>
      <c r="N167" s="4">
        <v>1500</v>
      </c>
      <c r="O167" s="1">
        <v>150</v>
      </c>
      <c r="P167" s="5">
        <v>10</v>
      </c>
      <c r="Q167" s="4">
        <v>400</v>
      </c>
      <c r="R167" s="1">
        <v>8</v>
      </c>
      <c r="S167" s="5">
        <v>4</v>
      </c>
      <c r="T167" s="4">
        <v>10</v>
      </c>
      <c r="U167" s="1">
        <v>0.5</v>
      </c>
      <c r="V167" s="5">
        <v>1.7</v>
      </c>
      <c r="W167" s="4">
        <v>100</v>
      </c>
      <c r="X167" s="5">
        <v>1</v>
      </c>
      <c r="Y167" s="4">
        <v>700</v>
      </c>
      <c r="Z167" s="5">
        <v>42</v>
      </c>
    </row>
    <row r="168" spans="1:26" x14ac:dyDescent="0.25">
      <c r="A168" s="2" t="s">
        <v>104</v>
      </c>
      <c r="B168" s="6" t="s">
        <v>230</v>
      </c>
      <c r="D168" s="6" t="str">
        <f>VLOOKUP(TRIM(A168),wikily_maps!A:O,15,FALSE)</f>
        <v>Astraeos, Crystal Isles, Extinction, Fjordur, Genesis 2, Genesis, Lost Island, Ragnarok, The Center, The Island, Valguero</v>
      </c>
      <c r="E168" s="4">
        <v>300</v>
      </c>
      <c r="F168" s="1">
        <v>60</v>
      </c>
      <c r="G168" s="5">
        <v>5.4</v>
      </c>
      <c r="H168" s="4">
        <v>280</v>
      </c>
      <c r="I168" s="1">
        <v>28</v>
      </c>
      <c r="J168" s="5">
        <v>10</v>
      </c>
      <c r="K168" s="4">
        <v>150</v>
      </c>
      <c r="L168" s="1">
        <v>15</v>
      </c>
      <c r="M168" s="5">
        <v>10</v>
      </c>
      <c r="N168" s="4">
        <v>1200</v>
      </c>
      <c r="O168" s="1">
        <v>120</v>
      </c>
      <c r="P168" s="5">
        <v>10</v>
      </c>
      <c r="Q168" s="4">
        <v>220</v>
      </c>
      <c r="R168" s="1">
        <v>4.4000000000000004</v>
      </c>
      <c r="S168" s="5">
        <v>4</v>
      </c>
      <c r="T168" s="4">
        <v>30</v>
      </c>
      <c r="U168" s="1">
        <v>1.5</v>
      </c>
      <c r="V168" s="5">
        <v>1.7</v>
      </c>
      <c r="W168" s="4">
        <v>100</v>
      </c>
      <c r="X168" s="5">
        <v>1</v>
      </c>
      <c r="Y168" s="4">
        <v>175</v>
      </c>
      <c r="Z168" s="5">
        <v>10.5</v>
      </c>
    </row>
    <row r="169" spans="1:26" x14ac:dyDescent="0.25">
      <c r="A169" s="2" t="s">
        <v>105</v>
      </c>
      <c r="B169" s="6" t="s">
        <v>230</v>
      </c>
      <c r="D169" s="6" t="str">
        <f>VLOOKUP(TRIM(A169),wikily_maps!A:O,15,FALSE)</f>
        <v>Astraeos, Crystal Isles, Fjordur, Genesis 2, Lost Island, Ragnarok, The Center, The Island, Valguero</v>
      </c>
      <c r="E169" s="4">
        <v>600</v>
      </c>
      <c r="F169" s="1">
        <v>120</v>
      </c>
      <c r="G169" s="5">
        <v>5.4</v>
      </c>
      <c r="H169" s="4">
        <v>320</v>
      </c>
      <c r="I169" s="1">
        <v>32</v>
      </c>
      <c r="J169" s="5">
        <v>10</v>
      </c>
      <c r="K169" s="4">
        <v>150</v>
      </c>
      <c r="L169" s="1">
        <v>15</v>
      </c>
      <c r="M169" s="5">
        <v>0</v>
      </c>
      <c r="N169" s="4">
        <v>2000</v>
      </c>
      <c r="O169" s="1">
        <v>200</v>
      </c>
      <c r="P169" s="5">
        <v>10</v>
      </c>
      <c r="Q169" s="4">
        <v>250</v>
      </c>
      <c r="R169" s="1">
        <v>5</v>
      </c>
      <c r="S169" s="5">
        <v>4</v>
      </c>
      <c r="T169" s="4">
        <v>40</v>
      </c>
      <c r="U169" s="1">
        <v>2</v>
      </c>
      <c r="V169" s="5">
        <v>1.7</v>
      </c>
      <c r="W169" s="4">
        <v>100</v>
      </c>
      <c r="X169" s="5">
        <v>1</v>
      </c>
      <c r="Y169" s="4">
        <v>800</v>
      </c>
      <c r="Z169" s="5">
        <v>48</v>
      </c>
    </row>
    <row r="170" spans="1:26" x14ac:dyDescent="0.25">
      <c r="A170" s="2" t="s">
        <v>106</v>
      </c>
      <c r="B170" s="6" t="s">
        <v>230</v>
      </c>
      <c r="D170" s="6" t="str">
        <f>VLOOKUP(TRIM(A170),wikily_maps!A:O,15,FALSE)</f>
        <v>Astraeos, Crystal Isles, Extinction, Fjordur, Lost Island, Ragnarok, Scorched Earth, The Center, The Island</v>
      </c>
      <c r="E170" s="4">
        <v>1025</v>
      </c>
      <c r="F170" s="1">
        <v>205</v>
      </c>
      <c r="G170" s="5">
        <v>5.4</v>
      </c>
      <c r="H170" s="4">
        <v>300</v>
      </c>
      <c r="I170" s="1">
        <v>30</v>
      </c>
      <c r="J170" s="5">
        <v>10</v>
      </c>
      <c r="K170" s="4">
        <v>150</v>
      </c>
      <c r="L170" s="1">
        <v>15</v>
      </c>
      <c r="M170" s="5">
        <v>10</v>
      </c>
      <c r="N170" s="4">
        <v>2000</v>
      </c>
      <c r="O170" s="1">
        <v>200</v>
      </c>
      <c r="P170" s="5">
        <v>10</v>
      </c>
      <c r="Q170" s="4">
        <v>300</v>
      </c>
      <c r="R170" s="1">
        <v>6</v>
      </c>
      <c r="S170" s="5">
        <v>4</v>
      </c>
      <c r="T170" s="4">
        <v>75</v>
      </c>
      <c r="U170" s="1">
        <v>3.75</v>
      </c>
      <c r="V170" s="5">
        <v>1.7</v>
      </c>
      <c r="W170" s="4">
        <v>100</v>
      </c>
      <c r="X170" s="5">
        <v>1</v>
      </c>
      <c r="Y170" s="4">
        <v>775</v>
      </c>
      <c r="Z170" s="5">
        <v>46.5</v>
      </c>
    </row>
    <row r="171" spans="1:26" x14ac:dyDescent="0.25">
      <c r="A171" s="2" t="s">
        <v>225</v>
      </c>
      <c r="B171" s="6" t="s">
        <v>178</v>
      </c>
      <c r="C171" s="6" t="s">
        <v>205</v>
      </c>
      <c r="D171" s="6" t="s">
        <v>182</v>
      </c>
      <c r="E171" s="4">
        <v>180000</v>
      </c>
      <c r="F171" s="5">
        <v>0</v>
      </c>
      <c r="G171" s="5">
        <v>0</v>
      </c>
      <c r="H171" s="4">
        <v>650</v>
      </c>
      <c r="I171" s="5">
        <v>0</v>
      </c>
      <c r="J171" s="5">
        <v>0</v>
      </c>
      <c r="K171" s="4">
        <v>0</v>
      </c>
      <c r="L171" s="5">
        <v>0</v>
      </c>
      <c r="M171" s="5">
        <v>0</v>
      </c>
      <c r="N171" s="4">
        <v>2600</v>
      </c>
      <c r="O171" s="5">
        <v>0</v>
      </c>
      <c r="P171" s="5">
        <v>0</v>
      </c>
      <c r="Q171" s="4">
        <v>4000</v>
      </c>
      <c r="R171" s="5">
        <v>0</v>
      </c>
      <c r="S171" s="5">
        <v>0</v>
      </c>
      <c r="T171" s="4">
        <v>400</v>
      </c>
      <c r="U171" s="5">
        <v>0</v>
      </c>
      <c r="V171" s="5">
        <v>0</v>
      </c>
      <c r="W171" s="4">
        <v>100</v>
      </c>
      <c r="X171" s="5">
        <v>0</v>
      </c>
      <c r="Y171" s="4">
        <v>350</v>
      </c>
      <c r="Z171" s="5">
        <v>0</v>
      </c>
    </row>
    <row r="172" spans="1:26" x14ac:dyDescent="0.25">
      <c r="A172" s="2" t="s">
        <v>225</v>
      </c>
      <c r="B172" s="6" t="s">
        <v>178</v>
      </c>
      <c r="C172" s="18" t="s">
        <v>181</v>
      </c>
      <c r="D172" s="6" t="s">
        <v>184</v>
      </c>
      <c r="E172" s="4">
        <v>352000</v>
      </c>
      <c r="F172" s="5">
        <v>0</v>
      </c>
      <c r="G172" s="5">
        <v>0</v>
      </c>
      <c r="H172" s="4">
        <v>650</v>
      </c>
      <c r="I172" s="5">
        <v>0</v>
      </c>
      <c r="J172" s="5">
        <v>0</v>
      </c>
      <c r="K172" s="4">
        <v>0</v>
      </c>
      <c r="L172" s="5">
        <v>0</v>
      </c>
      <c r="M172" s="5">
        <v>0</v>
      </c>
      <c r="N172" s="4">
        <v>2600</v>
      </c>
      <c r="O172" s="5">
        <v>0</v>
      </c>
      <c r="P172" s="5">
        <v>0</v>
      </c>
      <c r="Q172" s="4">
        <v>4000</v>
      </c>
      <c r="R172" s="5">
        <v>0</v>
      </c>
      <c r="S172" s="5">
        <v>0</v>
      </c>
      <c r="T172" s="4">
        <v>400</v>
      </c>
      <c r="U172" s="5">
        <v>0</v>
      </c>
      <c r="V172" s="5">
        <v>0</v>
      </c>
      <c r="W172" s="4">
        <v>100</v>
      </c>
      <c r="X172" s="5">
        <v>0</v>
      </c>
      <c r="Y172" s="4">
        <v>350</v>
      </c>
      <c r="Z172" s="5">
        <v>0</v>
      </c>
    </row>
    <row r="173" spans="1:26" x14ac:dyDescent="0.25">
      <c r="A173" s="2" t="s">
        <v>225</v>
      </c>
      <c r="B173" s="6" t="s">
        <v>177</v>
      </c>
      <c r="C173" s="6" t="s">
        <v>204</v>
      </c>
      <c r="D173" s="6" t="s">
        <v>182</v>
      </c>
      <c r="E173" s="4">
        <v>396000</v>
      </c>
      <c r="F173" s="5">
        <v>0</v>
      </c>
      <c r="G173" s="5">
        <v>0</v>
      </c>
      <c r="H173" s="4">
        <v>650</v>
      </c>
      <c r="I173" s="5">
        <v>0</v>
      </c>
      <c r="J173" s="5">
        <v>0</v>
      </c>
      <c r="K173" s="4">
        <v>0</v>
      </c>
      <c r="L173" s="5">
        <v>0</v>
      </c>
      <c r="M173" s="5">
        <v>0</v>
      </c>
      <c r="N173" s="4">
        <v>2600</v>
      </c>
      <c r="O173" s="5">
        <v>0</v>
      </c>
      <c r="P173" s="5">
        <v>0</v>
      </c>
      <c r="Q173" s="4">
        <v>4000</v>
      </c>
      <c r="R173" s="5">
        <v>0</v>
      </c>
      <c r="S173" s="5">
        <v>0</v>
      </c>
      <c r="T173" s="4">
        <v>800</v>
      </c>
      <c r="U173" s="5">
        <v>0</v>
      </c>
      <c r="V173" s="5">
        <v>0</v>
      </c>
      <c r="W173" s="4">
        <v>100</v>
      </c>
      <c r="X173" s="5">
        <v>0</v>
      </c>
      <c r="Y173" s="4">
        <v>350</v>
      </c>
      <c r="Z173" s="5">
        <v>0</v>
      </c>
    </row>
    <row r="174" spans="1:26" x14ac:dyDescent="0.25">
      <c r="A174" s="2" t="s">
        <v>225</v>
      </c>
      <c r="B174" s="6" t="s">
        <v>177</v>
      </c>
      <c r="C174" s="18" t="s">
        <v>180</v>
      </c>
      <c r="D174" s="6" t="s">
        <v>184</v>
      </c>
      <c r="E174" s="4">
        <v>400000</v>
      </c>
      <c r="F174" s="5">
        <v>0</v>
      </c>
      <c r="G174" s="5">
        <v>0</v>
      </c>
      <c r="H174" s="4">
        <v>650</v>
      </c>
      <c r="I174" s="5">
        <v>0</v>
      </c>
      <c r="J174" s="5">
        <v>0</v>
      </c>
      <c r="K174" s="4">
        <v>0</v>
      </c>
      <c r="L174" s="5">
        <v>0</v>
      </c>
      <c r="M174" s="5">
        <v>0</v>
      </c>
      <c r="N174" s="4">
        <v>2600</v>
      </c>
      <c r="O174" s="5">
        <v>0</v>
      </c>
      <c r="P174" s="5">
        <v>0</v>
      </c>
      <c r="Q174" s="4">
        <v>4000</v>
      </c>
      <c r="R174" s="5">
        <v>0</v>
      </c>
      <c r="S174" s="5">
        <v>0</v>
      </c>
      <c r="T174" s="4">
        <v>800</v>
      </c>
      <c r="U174" s="5">
        <v>0</v>
      </c>
      <c r="V174" s="5">
        <v>0</v>
      </c>
      <c r="W174" s="4">
        <v>100</v>
      </c>
      <c r="X174" s="5">
        <v>0</v>
      </c>
      <c r="Y174" s="4">
        <v>350</v>
      </c>
      <c r="Z174" s="5">
        <v>0</v>
      </c>
    </row>
    <row r="175" spans="1:26" x14ac:dyDescent="0.25">
      <c r="A175" s="2" t="s">
        <v>225</v>
      </c>
      <c r="B175" s="6" t="s">
        <v>176</v>
      </c>
      <c r="C175" s="18" t="s">
        <v>179</v>
      </c>
      <c r="D175" s="6" t="s">
        <v>184</v>
      </c>
      <c r="E175" s="4">
        <v>464000</v>
      </c>
      <c r="F175" s="5">
        <v>0</v>
      </c>
      <c r="G175" s="5">
        <v>0</v>
      </c>
      <c r="H175" s="4">
        <v>650</v>
      </c>
      <c r="I175" s="5">
        <v>0</v>
      </c>
      <c r="J175" s="5">
        <v>0</v>
      </c>
      <c r="K175" s="4">
        <v>0</v>
      </c>
      <c r="L175" s="5">
        <v>0</v>
      </c>
      <c r="M175" s="5">
        <v>0</v>
      </c>
      <c r="N175" s="4">
        <v>2600</v>
      </c>
      <c r="O175" s="5">
        <v>0</v>
      </c>
      <c r="P175" s="5">
        <v>0</v>
      </c>
      <c r="Q175" s="4">
        <v>4000</v>
      </c>
      <c r="R175" s="5">
        <v>0</v>
      </c>
      <c r="S175" s="5">
        <v>0</v>
      </c>
      <c r="T175" s="4">
        <v>1200</v>
      </c>
      <c r="U175" s="5">
        <v>0</v>
      </c>
      <c r="V175" s="5">
        <v>0</v>
      </c>
      <c r="W175" s="4">
        <v>100</v>
      </c>
      <c r="X175" s="5">
        <v>0</v>
      </c>
      <c r="Y175" s="4">
        <v>350</v>
      </c>
      <c r="Z175" s="5">
        <v>0</v>
      </c>
    </row>
    <row r="176" spans="1:26" x14ac:dyDescent="0.25">
      <c r="A176" s="2" t="s">
        <v>225</v>
      </c>
      <c r="B176" s="6" t="s">
        <v>176</v>
      </c>
      <c r="C176" s="6" t="s">
        <v>203</v>
      </c>
      <c r="D176" s="6" t="s">
        <v>182</v>
      </c>
      <c r="E176" s="4">
        <v>540000</v>
      </c>
      <c r="F176" s="5">
        <v>0</v>
      </c>
      <c r="G176" s="5">
        <v>0</v>
      </c>
      <c r="H176" s="4">
        <v>650</v>
      </c>
      <c r="I176" s="5">
        <v>0</v>
      </c>
      <c r="J176" s="5">
        <v>0</v>
      </c>
      <c r="K176" s="4">
        <v>0</v>
      </c>
      <c r="L176" s="5">
        <v>0</v>
      </c>
      <c r="M176" s="5">
        <v>0</v>
      </c>
      <c r="N176" s="4">
        <v>2600</v>
      </c>
      <c r="O176" s="5">
        <v>0</v>
      </c>
      <c r="P176" s="5">
        <v>0</v>
      </c>
      <c r="Q176" s="4">
        <v>4000</v>
      </c>
      <c r="R176" s="5">
        <v>0</v>
      </c>
      <c r="S176" s="5">
        <v>0</v>
      </c>
      <c r="T176" s="4">
        <v>1200</v>
      </c>
      <c r="U176" s="5">
        <v>0</v>
      </c>
      <c r="V176" s="5">
        <v>0</v>
      </c>
      <c r="W176" s="4">
        <v>100</v>
      </c>
      <c r="X176" s="5">
        <v>0</v>
      </c>
      <c r="Y176" s="4">
        <v>350</v>
      </c>
      <c r="Z176" s="5">
        <v>0</v>
      </c>
    </row>
    <row r="177" spans="1:26" x14ac:dyDescent="0.25">
      <c r="A177" s="2" t="s">
        <v>107</v>
      </c>
      <c r="B177" s="6" t="s">
        <v>230</v>
      </c>
      <c r="D177" s="6" t="str">
        <f>VLOOKUP(TRIM(A177),wikily_maps!A:O,15,FALSE)</f>
        <v>Astraeos, Crystal Isles, Extinction, Fjordur, Genesis 2, Genesis, Lost Island, Ragnarok, Scorched Earth, The Center, The Island, Valguero</v>
      </c>
      <c r="E177" s="4">
        <v>740</v>
      </c>
      <c r="F177" s="1">
        <v>148</v>
      </c>
      <c r="G177" s="5">
        <v>5.4</v>
      </c>
      <c r="H177" s="4">
        <v>400</v>
      </c>
      <c r="I177" s="1">
        <v>40</v>
      </c>
      <c r="J177" s="5">
        <v>10</v>
      </c>
      <c r="K177" s="4">
        <v>270</v>
      </c>
      <c r="L177" s="1">
        <v>27</v>
      </c>
      <c r="M177" s="5">
        <v>10</v>
      </c>
      <c r="N177" s="4">
        <v>3000</v>
      </c>
      <c r="O177" s="1">
        <v>300</v>
      </c>
      <c r="P177" s="5">
        <v>10</v>
      </c>
      <c r="Q177" s="4">
        <v>725</v>
      </c>
      <c r="R177" s="1">
        <v>14.5</v>
      </c>
      <c r="S177" s="5">
        <v>4.5</v>
      </c>
      <c r="T177" s="4">
        <v>32</v>
      </c>
      <c r="U177" s="1">
        <v>1.6</v>
      </c>
      <c r="V177" s="5">
        <v>1.7</v>
      </c>
      <c r="W177" s="4">
        <v>100</v>
      </c>
      <c r="X177" s="5">
        <v>1</v>
      </c>
      <c r="Y177" s="4">
        <v>1000</v>
      </c>
      <c r="Z177" s="5">
        <v>60</v>
      </c>
    </row>
    <row r="178" spans="1:26" x14ac:dyDescent="0.25">
      <c r="A178" s="2" t="s">
        <v>108</v>
      </c>
      <c r="B178" s="6" t="s">
        <v>230</v>
      </c>
      <c r="D178" s="6" t="str">
        <f>VLOOKUP(TRIM(A178),wikily_maps!A:O,15,FALSE)</f>
        <v>Astraeos, Crystal Isles, Extinction, Fjordur, Genesis 2, Genesis, Lost Island, Ragnarok, The Center, The Island, Valguero</v>
      </c>
      <c r="E178" s="4">
        <v>115</v>
      </c>
      <c r="F178" s="1">
        <v>23</v>
      </c>
      <c r="G178" s="5">
        <v>5.4</v>
      </c>
      <c r="H178" s="4">
        <v>100</v>
      </c>
      <c r="I178" s="1">
        <v>10</v>
      </c>
      <c r="J178" s="5">
        <v>10</v>
      </c>
      <c r="K178" s="4">
        <v>150</v>
      </c>
      <c r="L178" s="1">
        <v>15</v>
      </c>
      <c r="M178" s="5">
        <v>10</v>
      </c>
      <c r="N178" s="4">
        <v>450</v>
      </c>
      <c r="O178" s="1">
        <v>45</v>
      </c>
      <c r="P178" s="5">
        <v>10</v>
      </c>
      <c r="Q178" s="4">
        <v>70</v>
      </c>
      <c r="R178" s="1">
        <v>1.4</v>
      </c>
      <c r="S178" s="5">
        <v>4</v>
      </c>
      <c r="T178" s="4">
        <v>12</v>
      </c>
      <c r="U178" s="1">
        <v>0.6</v>
      </c>
      <c r="V178" s="5">
        <v>1.7</v>
      </c>
      <c r="W178" s="4">
        <v>100</v>
      </c>
      <c r="X178" s="5">
        <v>1</v>
      </c>
      <c r="Y178" s="4">
        <v>60</v>
      </c>
      <c r="Z178" s="5">
        <v>3.6</v>
      </c>
    </row>
    <row r="179" spans="1:26" x14ac:dyDescent="0.25">
      <c r="A179" s="2" t="s">
        <v>109</v>
      </c>
      <c r="B179" s="6" t="s">
        <v>230</v>
      </c>
      <c r="D179" s="6" t="str">
        <f>VLOOKUP(TRIM(A179),wikily_maps!A:O,15,FALSE)</f>
        <v>Astraeos, Crystal Isles, Extinction, Fjordur, Genesis 2, Genesis, Lost Island, Ragnarok, Scorched Earth, The Center, The Island, Valguero</v>
      </c>
      <c r="E179" s="4">
        <v>130</v>
      </c>
      <c r="F179" s="1">
        <v>26</v>
      </c>
      <c r="G179" s="5">
        <v>5.4</v>
      </c>
      <c r="H179" s="4">
        <v>100</v>
      </c>
      <c r="I179" s="1">
        <v>10</v>
      </c>
      <c r="J179" s="5">
        <v>10</v>
      </c>
      <c r="K179" s="4">
        <v>150</v>
      </c>
      <c r="L179" s="1">
        <v>15</v>
      </c>
      <c r="M179" s="5">
        <v>10</v>
      </c>
      <c r="N179" s="4">
        <v>450</v>
      </c>
      <c r="O179" s="1">
        <v>45</v>
      </c>
      <c r="P179" s="5">
        <v>10</v>
      </c>
      <c r="Q179" s="4">
        <v>45</v>
      </c>
      <c r="R179" s="1">
        <v>0.9</v>
      </c>
      <c r="S179" s="5">
        <v>4</v>
      </c>
      <c r="T179" s="4">
        <v>8</v>
      </c>
      <c r="U179" s="1">
        <v>0.4</v>
      </c>
      <c r="V179" s="5">
        <v>1.7</v>
      </c>
      <c r="W179" s="4">
        <v>100</v>
      </c>
      <c r="X179" s="5">
        <v>1</v>
      </c>
      <c r="Y179" s="4">
        <v>75</v>
      </c>
      <c r="Z179" s="5">
        <v>4.5</v>
      </c>
    </row>
    <row r="180" spans="1:26" x14ac:dyDescent="0.25">
      <c r="A180" s="2" t="s">
        <v>226</v>
      </c>
      <c r="B180" s="6" t="s">
        <v>178</v>
      </c>
      <c r="C180" s="6" t="s">
        <v>734</v>
      </c>
      <c r="D180" s="6" t="s">
        <v>194</v>
      </c>
      <c r="E180" s="4">
        <v>490000</v>
      </c>
      <c r="F180" s="5">
        <v>0</v>
      </c>
      <c r="G180" s="5">
        <v>0</v>
      </c>
      <c r="H180" s="4">
        <v>600</v>
      </c>
      <c r="I180" s="5">
        <v>0</v>
      </c>
      <c r="J180" s="5">
        <v>0</v>
      </c>
      <c r="K180" s="4">
        <v>0</v>
      </c>
      <c r="L180" s="5">
        <v>0</v>
      </c>
      <c r="M180" s="5">
        <v>0</v>
      </c>
      <c r="N180" s="4">
        <v>12000</v>
      </c>
      <c r="O180" s="5">
        <v>0</v>
      </c>
      <c r="P180" s="5">
        <v>0</v>
      </c>
      <c r="Q180" s="4">
        <v>2000</v>
      </c>
      <c r="R180" s="5">
        <v>0</v>
      </c>
      <c r="S180" s="5">
        <v>0</v>
      </c>
      <c r="T180" s="4">
        <v>180</v>
      </c>
      <c r="U180" s="5">
        <v>0</v>
      </c>
      <c r="V180" s="5">
        <v>0</v>
      </c>
      <c r="W180" s="4">
        <v>100</v>
      </c>
      <c r="X180" s="5">
        <v>0</v>
      </c>
      <c r="Y180" s="4">
        <v>5000</v>
      </c>
      <c r="Z180" s="5">
        <v>0</v>
      </c>
    </row>
    <row r="181" spans="1:26" x14ac:dyDescent="0.25">
      <c r="A181" s="2" t="s">
        <v>226</v>
      </c>
      <c r="B181" s="6" t="s">
        <v>177</v>
      </c>
      <c r="C181" s="6" t="s">
        <v>735</v>
      </c>
      <c r="D181" s="6" t="s">
        <v>194</v>
      </c>
      <c r="E181" s="4">
        <v>686000</v>
      </c>
      <c r="F181" s="5">
        <v>0</v>
      </c>
      <c r="G181" s="5">
        <v>0</v>
      </c>
      <c r="H181" s="4">
        <v>600</v>
      </c>
      <c r="I181" s="5">
        <v>0</v>
      </c>
      <c r="J181" s="5">
        <v>0</v>
      </c>
      <c r="K181" s="4">
        <v>0</v>
      </c>
      <c r="L181" s="5">
        <v>0</v>
      </c>
      <c r="M181" s="5">
        <v>0</v>
      </c>
      <c r="N181" s="4">
        <v>12000</v>
      </c>
      <c r="O181" s="5">
        <v>0</v>
      </c>
      <c r="P181" s="5">
        <v>0</v>
      </c>
      <c r="Q181" s="4">
        <v>2000</v>
      </c>
      <c r="R181" s="5">
        <v>0</v>
      </c>
      <c r="S181" s="5">
        <v>0</v>
      </c>
      <c r="T181" s="4">
        <v>360</v>
      </c>
      <c r="U181" s="5">
        <v>0</v>
      </c>
      <c r="V181" s="5">
        <v>0</v>
      </c>
      <c r="W181" s="4">
        <v>100</v>
      </c>
      <c r="X181" s="5">
        <v>0</v>
      </c>
      <c r="Y181" s="4">
        <v>5000</v>
      </c>
      <c r="Z181" s="5">
        <v>0</v>
      </c>
    </row>
    <row r="182" spans="1:26" x14ac:dyDescent="0.25">
      <c r="A182" s="2" t="s">
        <v>226</v>
      </c>
      <c r="B182" s="6" t="s">
        <v>176</v>
      </c>
      <c r="C182" s="6" t="s">
        <v>736</v>
      </c>
      <c r="D182" s="6" t="s">
        <v>194</v>
      </c>
      <c r="E182" s="4">
        <v>960400</v>
      </c>
      <c r="F182" s="5">
        <v>0</v>
      </c>
      <c r="G182" s="5">
        <v>0</v>
      </c>
      <c r="H182" s="4">
        <v>600</v>
      </c>
      <c r="I182" s="5">
        <v>0</v>
      </c>
      <c r="J182" s="5">
        <v>0</v>
      </c>
      <c r="K182" s="4">
        <v>0</v>
      </c>
      <c r="L182" s="5">
        <v>0</v>
      </c>
      <c r="M182" s="5">
        <v>0</v>
      </c>
      <c r="N182" s="4">
        <v>12000</v>
      </c>
      <c r="O182" s="5">
        <v>0</v>
      </c>
      <c r="P182" s="5">
        <v>0</v>
      </c>
      <c r="Q182" s="4">
        <v>2000</v>
      </c>
      <c r="R182" s="5">
        <v>0</v>
      </c>
      <c r="S182" s="5">
        <v>0</v>
      </c>
      <c r="T182" s="4">
        <v>520</v>
      </c>
      <c r="U182" s="5">
        <v>0</v>
      </c>
      <c r="V182" s="5">
        <v>0</v>
      </c>
      <c r="W182" s="4">
        <v>100</v>
      </c>
      <c r="X182" s="5">
        <v>0</v>
      </c>
      <c r="Y182" s="4">
        <v>5000</v>
      </c>
      <c r="Z182" s="5">
        <v>0</v>
      </c>
    </row>
    <row r="183" spans="1:26" x14ac:dyDescent="0.25">
      <c r="A183" s="2" t="s">
        <v>110</v>
      </c>
      <c r="B183" s="6" t="s">
        <v>230</v>
      </c>
      <c r="D183" s="6" t="str">
        <f>VLOOKUP(TRIM(A183),wikily_maps!A:O,15,FALSE)</f>
        <v>Astraeos, Crystal Isles, Extinction, Lost Island, Ragnarok, Scorched Earth</v>
      </c>
      <c r="E183" s="4">
        <v>400</v>
      </c>
      <c r="F183" s="1">
        <v>80</v>
      </c>
      <c r="G183" s="5">
        <v>5.4</v>
      </c>
      <c r="H183" s="4">
        <v>220</v>
      </c>
      <c r="I183" s="1">
        <v>22</v>
      </c>
      <c r="J183" s="5">
        <v>10</v>
      </c>
      <c r="K183" s="4">
        <v>150</v>
      </c>
      <c r="L183" s="1">
        <v>15</v>
      </c>
      <c r="M183" s="5">
        <v>10</v>
      </c>
      <c r="N183" s="4">
        <v>6000</v>
      </c>
      <c r="O183" s="1">
        <v>600</v>
      </c>
      <c r="P183" s="5">
        <v>10</v>
      </c>
      <c r="Q183" s="4">
        <v>440</v>
      </c>
      <c r="R183" s="1">
        <v>8.8000000000000007</v>
      </c>
      <c r="S183" s="5">
        <v>4</v>
      </c>
      <c r="T183" s="4">
        <v>32</v>
      </c>
      <c r="U183" s="1">
        <v>1.6</v>
      </c>
      <c r="V183" s="5">
        <v>1.7</v>
      </c>
      <c r="W183" s="4">
        <v>100</v>
      </c>
      <c r="X183" s="5">
        <v>1</v>
      </c>
      <c r="Y183" s="4">
        <v>315</v>
      </c>
      <c r="Z183" s="5">
        <v>18.899999999999999</v>
      </c>
    </row>
    <row r="184" spans="1:26" x14ac:dyDescent="0.25">
      <c r="A184" s="2" t="s">
        <v>111</v>
      </c>
      <c r="B184" s="6" t="s">
        <v>230</v>
      </c>
      <c r="D184" s="6" t="str">
        <f>VLOOKUP(TRIM(A184),wikily_maps!A:O,15,FALSE)</f>
        <v>Astraeos, Crystal Isles, Fjordur, Genesis 2, Lost Island, Ragnarok, The Center, The Island, Valguero</v>
      </c>
      <c r="E184" s="4">
        <v>3600</v>
      </c>
      <c r="F184" s="1">
        <v>432</v>
      </c>
      <c r="G184" s="5">
        <v>4.2</v>
      </c>
      <c r="H184" s="4">
        <v>400</v>
      </c>
      <c r="I184" s="1">
        <v>40</v>
      </c>
      <c r="J184" s="5">
        <v>10</v>
      </c>
      <c r="K184" s="4">
        <v>150</v>
      </c>
      <c r="L184" s="1">
        <v>15</v>
      </c>
      <c r="M184" s="5">
        <v>10</v>
      </c>
      <c r="N184" s="4">
        <v>8000</v>
      </c>
      <c r="O184" s="1">
        <v>800</v>
      </c>
      <c r="P184" s="5">
        <v>10</v>
      </c>
      <c r="Q184" s="4">
        <v>1300</v>
      </c>
      <c r="R184" s="1">
        <v>26</v>
      </c>
      <c r="S184" s="5">
        <v>4</v>
      </c>
      <c r="T184" s="4">
        <v>100</v>
      </c>
      <c r="U184" s="1">
        <v>5</v>
      </c>
      <c r="V184" s="5">
        <v>1.7</v>
      </c>
      <c r="W184" s="4">
        <v>100</v>
      </c>
      <c r="X184" s="5">
        <v>0.5</v>
      </c>
      <c r="Y184" s="4">
        <v>3000</v>
      </c>
      <c r="Z184" s="5">
        <v>180</v>
      </c>
    </row>
    <row r="185" spans="1:26" x14ac:dyDescent="0.25">
      <c r="A185" s="2" t="s">
        <v>112</v>
      </c>
      <c r="B185" s="6" t="s">
        <v>230</v>
      </c>
      <c r="D185" s="6" t="str">
        <f>VLOOKUP(TRIM(A185),wikily_maps!A:O,15,FALSE)</f>
        <v>Astraeos, Crystal Isles, Extinction, Fjordur, Genesis 2, Genesis, Lost Island, Ragnarok, Scorched Earth, The Center, The Island, Valguero</v>
      </c>
      <c r="E185" s="4">
        <v>375</v>
      </c>
      <c r="F185" s="1">
        <v>75</v>
      </c>
      <c r="G185" s="5">
        <v>5.4</v>
      </c>
      <c r="H185" s="4">
        <v>300</v>
      </c>
      <c r="I185" s="1">
        <v>30</v>
      </c>
      <c r="J185" s="5">
        <v>10</v>
      </c>
      <c r="K185" s="4">
        <v>150</v>
      </c>
      <c r="L185" s="1">
        <v>15</v>
      </c>
      <c r="M185" s="5">
        <v>10</v>
      </c>
      <c r="N185" s="4">
        <v>300</v>
      </c>
      <c r="O185" s="1">
        <v>30</v>
      </c>
      <c r="P185" s="5">
        <v>10</v>
      </c>
      <c r="Q185" s="4">
        <v>200</v>
      </c>
      <c r="R185" s="1">
        <v>4</v>
      </c>
      <c r="S185" s="5">
        <v>4</v>
      </c>
      <c r="T185" s="4">
        <v>32</v>
      </c>
      <c r="U185" s="1">
        <v>1.6</v>
      </c>
      <c r="V185" s="5">
        <v>1.7</v>
      </c>
      <c r="W185" s="4">
        <v>100</v>
      </c>
      <c r="X185" s="5">
        <v>1</v>
      </c>
      <c r="Y185" s="4">
        <v>300</v>
      </c>
      <c r="Z185" s="5">
        <v>18</v>
      </c>
    </row>
    <row r="186" spans="1:26" x14ac:dyDescent="0.25">
      <c r="A186" s="2" t="s">
        <v>113</v>
      </c>
      <c r="B186" s="6" t="s">
        <v>230</v>
      </c>
      <c r="D186" s="6" t="str">
        <f>VLOOKUP(TRIM(A186),wikily_maps!A:O,15,FALSE)</f>
        <v>Aberration, Valguero</v>
      </c>
      <c r="E186" s="4">
        <v>220</v>
      </c>
      <c r="F186" s="1">
        <v>44</v>
      </c>
      <c r="G186" s="5">
        <v>5.4</v>
      </c>
      <c r="H186" s="4">
        <v>150</v>
      </c>
      <c r="I186" s="1">
        <v>15</v>
      </c>
      <c r="J186" s="5">
        <v>10</v>
      </c>
      <c r="K186" s="4">
        <v>150</v>
      </c>
      <c r="L186" s="1">
        <v>15</v>
      </c>
      <c r="M186" s="5">
        <v>0</v>
      </c>
      <c r="N186" s="4">
        <v>1500</v>
      </c>
      <c r="O186" s="1">
        <v>150</v>
      </c>
      <c r="P186" s="5">
        <v>10</v>
      </c>
      <c r="Q186" s="4">
        <v>180</v>
      </c>
      <c r="R186" s="1">
        <v>3.6</v>
      </c>
      <c r="S186" s="5">
        <v>4</v>
      </c>
      <c r="T186" s="4">
        <v>10</v>
      </c>
      <c r="U186" s="1">
        <v>0.5</v>
      </c>
      <c r="V186" s="5">
        <v>1.7</v>
      </c>
      <c r="W186" s="4">
        <v>100</v>
      </c>
      <c r="X186" s="5">
        <v>0</v>
      </c>
      <c r="Y186" s="4">
        <v>220</v>
      </c>
      <c r="Z186" s="5">
        <v>13.2</v>
      </c>
    </row>
    <row r="187" spans="1:26" x14ac:dyDescent="0.25">
      <c r="A187" s="2" t="s">
        <v>114</v>
      </c>
      <c r="B187" s="6" t="s">
        <v>230</v>
      </c>
      <c r="D187" s="6" t="str">
        <f>VLOOKUP(TRIM(A187),wikily_maps!A:O,15,FALSE)</f>
        <v>Genesis 2</v>
      </c>
      <c r="E187" s="4">
        <v>50</v>
      </c>
      <c r="F187" s="1">
        <v>10</v>
      </c>
      <c r="G187" s="5">
        <v>6.4</v>
      </c>
      <c r="H187" s="4">
        <v>100</v>
      </c>
      <c r="I187" s="1">
        <v>10</v>
      </c>
      <c r="J187" s="5">
        <v>10</v>
      </c>
      <c r="K187" s="4">
        <v>150</v>
      </c>
      <c r="L187" s="1">
        <v>15</v>
      </c>
      <c r="M187" s="5">
        <v>10</v>
      </c>
      <c r="N187" s="4">
        <v>450</v>
      </c>
      <c r="O187" s="1">
        <v>45</v>
      </c>
      <c r="P187" s="5">
        <v>10</v>
      </c>
      <c r="Q187" s="4">
        <v>80</v>
      </c>
      <c r="R187" s="1">
        <v>1.6</v>
      </c>
      <c r="S187" s="5">
        <v>4</v>
      </c>
      <c r="T187" s="4">
        <v>4</v>
      </c>
      <c r="U187" s="1">
        <v>0.2</v>
      </c>
      <c r="V187" s="5">
        <v>1.7</v>
      </c>
      <c r="W187" s="4">
        <v>100</v>
      </c>
      <c r="X187" s="5">
        <v>1</v>
      </c>
      <c r="Y187" s="4">
        <v>25</v>
      </c>
      <c r="Z187" s="5">
        <v>1.5</v>
      </c>
    </row>
    <row r="188" spans="1:26" x14ac:dyDescent="0.25">
      <c r="A188" s="2" t="s">
        <v>115</v>
      </c>
      <c r="B188" s="6" t="s">
        <v>230</v>
      </c>
      <c r="D188" s="6" t="str">
        <f>VLOOKUP(TRIM(A188),wikily_maps!A:O,15,FALSE)</f>
        <v>Scorched Earth</v>
      </c>
      <c r="E188" s="4">
        <v>20000</v>
      </c>
      <c r="F188" s="1">
        <v>4000</v>
      </c>
      <c r="G188" s="5">
        <v>3.4</v>
      </c>
      <c r="H188" s="4">
        <v>100</v>
      </c>
      <c r="I188" s="1">
        <v>10</v>
      </c>
      <c r="J188" s="5">
        <v>10</v>
      </c>
      <c r="K188" s="4">
        <v>150</v>
      </c>
      <c r="L188" s="1">
        <v>15</v>
      </c>
      <c r="M188" s="5">
        <v>10</v>
      </c>
      <c r="N188" s="4">
        <v>8800</v>
      </c>
      <c r="O188" s="1">
        <v>880</v>
      </c>
      <c r="P188" s="5">
        <v>10</v>
      </c>
      <c r="Q188" s="4">
        <v>2500</v>
      </c>
      <c r="R188" s="1">
        <v>50</v>
      </c>
      <c r="S188" s="5">
        <v>4</v>
      </c>
      <c r="T188" s="4">
        <v>100</v>
      </c>
      <c r="U188" s="1">
        <v>2</v>
      </c>
      <c r="V188" s="5">
        <v>1.7</v>
      </c>
      <c r="W188" s="4">
        <v>100</v>
      </c>
      <c r="X188" s="5">
        <v>1</v>
      </c>
      <c r="Y188" s="4">
        <v>10000</v>
      </c>
      <c r="Z188" s="5">
        <v>600</v>
      </c>
    </row>
    <row r="189" spans="1:26" x14ac:dyDescent="0.25">
      <c r="A189" s="2" t="s">
        <v>116</v>
      </c>
      <c r="B189" s="6" t="s">
        <v>230</v>
      </c>
      <c r="D189" s="6" t="str">
        <f>VLOOKUP(TRIM(A189),wikily_maps!A:O,15,FALSE)</f>
        <v>Astraeos, Crystal Isles, Extinction, Fjordur, Genesis, Lost Island, Ragnarok, Scorched Earth, The Center, The Island, Valguero</v>
      </c>
      <c r="E189" s="4">
        <v>250</v>
      </c>
      <c r="F189" s="1">
        <v>50</v>
      </c>
      <c r="G189" s="5">
        <v>5.4</v>
      </c>
      <c r="H189" s="4">
        <v>100</v>
      </c>
      <c r="I189" s="1">
        <v>10</v>
      </c>
      <c r="J189" s="5">
        <v>10</v>
      </c>
      <c r="K189" s="4">
        <v>150</v>
      </c>
      <c r="L189" s="1">
        <v>15</v>
      </c>
      <c r="M189" s="5">
        <v>10</v>
      </c>
      <c r="N189" s="4">
        <v>1500</v>
      </c>
      <c r="O189" s="1">
        <v>150</v>
      </c>
      <c r="P189" s="5">
        <v>10</v>
      </c>
      <c r="Q189" s="4">
        <v>50</v>
      </c>
      <c r="R189" s="1">
        <v>1</v>
      </c>
      <c r="S189" s="5">
        <v>4</v>
      </c>
      <c r="T189" s="4">
        <v>35</v>
      </c>
      <c r="U189" s="1">
        <v>1.75</v>
      </c>
      <c r="V189" s="5">
        <v>1.7</v>
      </c>
      <c r="W189" s="4">
        <v>100</v>
      </c>
      <c r="X189" s="5">
        <v>1</v>
      </c>
      <c r="Y189" s="4">
        <v>200</v>
      </c>
      <c r="Z189" s="5">
        <v>12</v>
      </c>
    </row>
    <row r="190" spans="1:26" x14ac:dyDescent="0.25">
      <c r="A190" s="2" t="s">
        <v>117</v>
      </c>
      <c r="B190" s="6" t="s">
        <v>230</v>
      </c>
      <c r="D190" s="6" t="str">
        <f>VLOOKUP(TRIM(A190),wikily_maps!A:O,15,FALSE)</f>
        <v>Astraeos, Crystal Isles, Extinction, Fjordur, Genesis 2, Lost Island, Ragnarok, The Center, The Island, Valguero</v>
      </c>
      <c r="E190" s="4">
        <v>40</v>
      </c>
      <c r="F190" s="1">
        <v>8</v>
      </c>
      <c r="G190" s="5">
        <v>5.4</v>
      </c>
      <c r="H190" s="4">
        <v>180</v>
      </c>
      <c r="I190" s="1">
        <v>18</v>
      </c>
      <c r="J190" s="5">
        <v>10</v>
      </c>
      <c r="K190" s="4">
        <v>600</v>
      </c>
      <c r="L190" s="1">
        <v>60</v>
      </c>
      <c r="M190" s="5">
        <v>10</v>
      </c>
      <c r="N190" s="4">
        <v>400</v>
      </c>
      <c r="O190" s="1">
        <v>40</v>
      </c>
      <c r="P190" s="5">
        <v>10</v>
      </c>
      <c r="Q190" s="4">
        <v>30</v>
      </c>
      <c r="R190" s="1">
        <v>0.6</v>
      </c>
      <c r="S190" s="5">
        <v>4</v>
      </c>
      <c r="T190" s="4">
        <v>10</v>
      </c>
      <c r="U190" s="1">
        <v>0.4</v>
      </c>
      <c r="V190" s="5">
        <v>1.7</v>
      </c>
      <c r="W190" s="4">
        <v>100</v>
      </c>
      <c r="X190" s="5">
        <v>1</v>
      </c>
      <c r="Y190" s="4">
        <v>350</v>
      </c>
      <c r="Z190" s="5">
        <v>21</v>
      </c>
    </row>
    <row r="191" spans="1:26" x14ac:dyDescent="0.25">
      <c r="A191" s="2" t="s">
        <v>227</v>
      </c>
      <c r="B191" s="6" t="s">
        <v>178</v>
      </c>
      <c r="C191" s="6" t="s">
        <v>187</v>
      </c>
      <c r="D191" s="6" t="s">
        <v>182</v>
      </c>
      <c r="E191" s="4">
        <v>1150000</v>
      </c>
      <c r="F191" s="5">
        <v>0</v>
      </c>
      <c r="G191" s="5">
        <v>0</v>
      </c>
      <c r="H191" s="4">
        <v>10000</v>
      </c>
      <c r="I191" s="5">
        <v>0</v>
      </c>
      <c r="J191" s="5">
        <v>0</v>
      </c>
      <c r="K191" s="4">
        <v>0</v>
      </c>
      <c r="L191" s="5">
        <v>0</v>
      </c>
      <c r="M191" s="5">
        <v>0</v>
      </c>
      <c r="N191" s="4">
        <v>2600</v>
      </c>
      <c r="O191" s="5">
        <v>0</v>
      </c>
      <c r="P191" s="5">
        <v>0</v>
      </c>
      <c r="Q191" s="4">
        <v>4000</v>
      </c>
      <c r="R191" s="5">
        <v>0</v>
      </c>
      <c r="S191" s="5">
        <v>0</v>
      </c>
      <c r="T191" s="4">
        <v>700</v>
      </c>
      <c r="U191" s="5">
        <v>0</v>
      </c>
      <c r="V191" s="5">
        <v>0</v>
      </c>
      <c r="W191" s="4">
        <v>100</v>
      </c>
      <c r="X191" s="5">
        <v>0</v>
      </c>
      <c r="Y191" s="4">
        <v>350</v>
      </c>
      <c r="Z191" s="5">
        <v>0</v>
      </c>
    </row>
    <row r="192" spans="1:26" x14ac:dyDescent="0.25">
      <c r="A192" s="2" t="s">
        <v>227</v>
      </c>
      <c r="B192" s="6" t="s">
        <v>177</v>
      </c>
      <c r="C192" s="6" t="s">
        <v>188</v>
      </c>
      <c r="D192" s="6" t="s">
        <v>182</v>
      </c>
      <c r="E192" s="4">
        <v>1690000</v>
      </c>
      <c r="F192" s="5">
        <v>0</v>
      </c>
      <c r="G192" s="5">
        <v>0</v>
      </c>
      <c r="H192" s="4">
        <v>10000</v>
      </c>
      <c r="I192" s="5">
        <v>0</v>
      </c>
      <c r="J192" s="5">
        <v>0</v>
      </c>
      <c r="K192" s="4">
        <v>0</v>
      </c>
      <c r="L192" s="5">
        <v>0</v>
      </c>
      <c r="M192" s="5">
        <v>0</v>
      </c>
      <c r="N192" s="4">
        <v>2600</v>
      </c>
      <c r="O192" s="5">
        <v>0</v>
      </c>
      <c r="P192" s="5">
        <v>0</v>
      </c>
      <c r="Q192" s="4">
        <v>4000</v>
      </c>
      <c r="R192" s="5">
        <v>0</v>
      </c>
      <c r="S192" s="5">
        <v>0</v>
      </c>
      <c r="T192" s="4">
        <v>900</v>
      </c>
      <c r="U192" s="5">
        <v>0</v>
      </c>
      <c r="V192" s="5">
        <v>0</v>
      </c>
      <c r="W192" s="4">
        <v>100</v>
      </c>
      <c r="X192" s="5">
        <v>0</v>
      </c>
      <c r="Y192" s="4">
        <v>350</v>
      </c>
      <c r="Z192" s="5">
        <v>0</v>
      </c>
    </row>
    <row r="193" spans="1:26" x14ac:dyDescent="0.25">
      <c r="A193" s="2" t="s">
        <v>227</v>
      </c>
      <c r="B193" s="6" t="s">
        <v>176</v>
      </c>
      <c r="C193" s="6" t="s">
        <v>189</v>
      </c>
      <c r="D193" s="6" t="s">
        <v>182</v>
      </c>
      <c r="E193" s="4">
        <v>2000000</v>
      </c>
      <c r="F193" s="5">
        <v>0</v>
      </c>
      <c r="G193" s="5">
        <v>0</v>
      </c>
      <c r="H193" s="4">
        <v>10000</v>
      </c>
      <c r="I193" s="5">
        <v>0</v>
      </c>
      <c r="J193" s="5">
        <v>0</v>
      </c>
      <c r="K193" s="4">
        <v>0</v>
      </c>
      <c r="L193" s="5">
        <v>0</v>
      </c>
      <c r="M193" s="5">
        <v>0</v>
      </c>
      <c r="N193" s="4">
        <v>2600</v>
      </c>
      <c r="O193" s="5">
        <v>0</v>
      </c>
      <c r="P193" s="5">
        <v>0</v>
      </c>
      <c r="Q193" s="4">
        <v>4000</v>
      </c>
      <c r="R193" s="5">
        <v>0</v>
      </c>
      <c r="S193" s="5">
        <v>0</v>
      </c>
      <c r="T193" s="4">
        <v>1000</v>
      </c>
      <c r="U193" s="5">
        <v>0</v>
      </c>
      <c r="V193" s="5">
        <v>0</v>
      </c>
      <c r="W193" s="4">
        <v>100</v>
      </c>
      <c r="X193" s="5">
        <v>0</v>
      </c>
      <c r="Y193" s="4">
        <v>350</v>
      </c>
      <c r="Z193" s="5">
        <v>0</v>
      </c>
    </row>
    <row r="194" spans="1:26" x14ac:dyDescent="0.25">
      <c r="A194" s="2" t="s">
        <v>118</v>
      </c>
      <c r="B194" s="6" t="s">
        <v>230</v>
      </c>
      <c r="D194" s="6" t="str">
        <f>VLOOKUP(TRIM(A194),wikily_maps!A:O,15,FALSE)</f>
        <v>Astraeos, Crystal Isles, Extinction, Fjordur, Genesis 2, Genesis, Lost Island, Ragnarok, The Center, The Island, Valguero</v>
      </c>
      <c r="E194" s="4">
        <v>140</v>
      </c>
      <c r="F194" s="1">
        <v>28</v>
      </c>
      <c r="G194" s="5">
        <v>5.4</v>
      </c>
      <c r="H194" s="4">
        <v>120</v>
      </c>
      <c r="I194" s="1">
        <v>12</v>
      </c>
      <c r="J194" s="5">
        <v>10</v>
      </c>
      <c r="K194" s="4">
        <v>150</v>
      </c>
      <c r="L194" s="1">
        <v>15</v>
      </c>
      <c r="M194" s="5">
        <v>10</v>
      </c>
      <c r="N194" s="4">
        <v>900</v>
      </c>
      <c r="O194" s="1">
        <v>90</v>
      </c>
      <c r="P194" s="5">
        <v>10</v>
      </c>
      <c r="Q194" s="4">
        <v>100</v>
      </c>
      <c r="R194" s="1">
        <v>2</v>
      </c>
      <c r="S194" s="5">
        <v>4</v>
      </c>
      <c r="T194" s="4">
        <v>12</v>
      </c>
      <c r="U194" s="1">
        <v>0.6</v>
      </c>
      <c r="V194" s="5">
        <v>1.7</v>
      </c>
      <c r="W194" s="4">
        <v>100</v>
      </c>
      <c r="X194" s="5">
        <v>1</v>
      </c>
      <c r="Y194" s="4">
        <v>125</v>
      </c>
      <c r="Z194" s="5">
        <v>7.5</v>
      </c>
    </row>
    <row r="195" spans="1:26" x14ac:dyDescent="0.25">
      <c r="A195" s="2" t="s">
        <v>119</v>
      </c>
      <c r="B195" s="6" t="s">
        <v>230</v>
      </c>
      <c r="D195" s="6" t="str">
        <f>VLOOKUP(TRIM(A195),wikily_maps!A:O,15,FALSE)</f>
        <v>Astraeos, Crystal Isles, Extinction, Fjordur, Genesis 2, Genesis, Lost Island, Ragnarok, Scorched Earth, The Center, The Island, Valguero</v>
      </c>
      <c r="E195" s="4">
        <v>100</v>
      </c>
      <c r="F195" s="1">
        <v>20</v>
      </c>
      <c r="G195" s="5">
        <v>5.4</v>
      </c>
      <c r="H195" s="4">
        <v>100</v>
      </c>
      <c r="I195" s="1">
        <v>10</v>
      </c>
      <c r="J195" s="5">
        <v>10</v>
      </c>
      <c r="K195" s="4">
        <v>150</v>
      </c>
      <c r="L195" s="1">
        <v>15</v>
      </c>
      <c r="M195" s="5">
        <v>10</v>
      </c>
      <c r="N195" s="4">
        <v>1200</v>
      </c>
      <c r="O195" s="1">
        <v>120</v>
      </c>
      <c r="P195" s="5">
        <v>10</v>
      </c>
      <c r="Q195" s="4">
        <v>90</v>
      </c>
      <c r="R195" s="1">
        <v>1.8</v>
      </c>
      <c r="S195" s="5">
        <v>4</v>
      </c>
      <c r="T195" s="4">
        <v>5</v>
      </c>
      <c r="U195" s="1">
        <v>0.25</v>
      </c>
      <c r="V195" s="5">
        <v>1.7</v>
      </c>
      <c r="W195" s="4">
        <v>100</v>
      </c>
      <c r="X195" s="5">
        <v>1</v>
      </c>
      <c r="Y195" s="4">
        <v>85</v>
      </c>
      <c r="Z195" s="5">
        <v>5.0999999999999996</v>
      </c>
    </row>
    <row r="196" spans="1:26" x14ac:dyDescent="0.25">
      <c r="A196" s="2" t="s">
        <v>120</v>
      </c>
      <c r="B196" s="6" t="s">
        <v>230</v>
      </c>
      <c r="D196" s="6" t="str">
        <f>VLOOKUP(TRIM(A196),wikily_maps!A:O,15,FALSE)</f>
        <v>Astraeos, Crystal Isles, Extinction, Fjordur, Genesis 2, Lost Island, Ragnarok, The Center, The Island, Valguero</v>
      </c>
      <c r="E196" s="4">
        <v>175</v>
      </c>
      <c r="F196" s="1">
        <v>35</v>
      </c>
      <c r="G196" s="5">
        <v>5.4</v>
      </c>
      <c r="H196" s="4">
        <v>150</v>
      </c>
      <c r="I196" s="1">
        <v>15</v>
      </c>
      <c r="J196" s="5">
        <v>10</v>
      </c>
      <c r="K196" s="4">
        <v>150</v>
      </c>
      <c r="L196" s="1">
        <v>15</v>
      </c>
      <c r="M196" s="5">
        <v>10</v>
      </c>
      <c r="N196" s="4">
        <v>1200</v>
      </c>
      <c r="O196" s="1">
        <v>120</v>
      </c>
      <c r="P196" s="5">
        <v>10</v>
      </c>
      <c r="Q196" s="4">
        <v>150</v>
      </c>
      <c r="R196" s="1">
        <v>3</v>
      </c>
      <c r="S196" s="5">
        <v>4</v>
      </c>
      <c r="T196" s="4">
        <v>10</v>
      </c>
      <c r="U196" s="1">
        <v>0.5</v>
      </c>
      <c r="V196" s="5">
        <v>1.7</v>
      </c>
      <c r="W196" s="4">
        <v>100</v>
      </c>
      <c r="X196" s="5">
        <v>3</v>
      </c>
      <c r="Y196" s="4">
        <v>160</v>
      </c>
      <c r="Z196" s="5">
        <v>9.6</v>
      </c>
    </row>
    <row r="197" spans="1:26" x14ac:dyDescent="0.25">
      <c r="A197" s="2" t="s">
        <v>121</v>
      </c>
      <c r="B197" s="6" t="s">
        <v>230</v>
      </c>
      <c r="D197" s="6" t="str">
        <f>VLOOKUP(TRIM(A197),wikily_maps!A:O,15,FALSE)</f>
        <v>Astraeos, Crystal Isles, Extinction, Fjordur, Genesis 2, Genesis, Lost Island, Ragnarok, The Center, The Island, Valguero</v>
      </c>
      <c r="E197" s="4">
        <v>375</v>
      </c>
      <c r="F197" s="1">
        <v>75</v>
      </c>
      <c r="G197" s="5">
        <v>5.4</v>
      </c>
      <c r="H197" s="4">
        <v>150</v>
      </c>
      <c r="I197" s="1">
        <v>15</v>
      </c>
      <c r="J197" s="5">
        <v>10</v>
      </c>
      <c r="K197" s="4">
        <v>150</v>
      </c>
      <c r="L197" s="1">
        <v>15</v>
      </c>
      <c r="M197" s="5">
        <v>10</v>
      </c>
      <c r="N197" s="4">
        <v>3000</v>
      </c>
      <c r="O197" s="1">
        <v>300</v>
      </c>
      <c r="P197" s="5">
        <v>10</v>
      </c>
      <c r="Q197" s="4">
        <v>365</v>
      </c>
      <c r="R197" s="1">
        <v>7.3</v>
      </c>
      <c r="S197" s="5">
        <v>4</v>
      </c>
      <c r="T197" s="4">
        <v>28</v>
      </c>
      <c r="U197" s="1">
        <v>1.4</v>
      </c>
      <c r="V197" s="5">
        <v>1.7</v>
      </c>
      <c r="W197" s="4">
        <v>100</v>
      </c>
      <c r="X197" s="5">
        <v>1</v>
      </c>
      <c r="Y197" s="4">
        <v>250</v>
      </c>
      <c r="Z197" s="5">
        <v>15</v>
      </c>
    </row>
    <row r="198" spans="1:26" x14ac:dyDescent="0.25">
      <c r="A198" s="2" t="s">
        <v>122</v>
      </c>
      <c r="B198" s="6" t="s">
        <v>230</v>
      </c>
      <c r="D198" s="6" t="str">
        <f>VLOOKUP(TRIM(A198),wikily_maps!A:O,15,FALSE)</f>
        <v>Astraeos, Crystal Isles, Extinction, Fjordur, Genesis 2, Lost Island, Ragnarok, Scorched Earth, The Center, The Island, Valguero</v>
      </c>
      <c r="E198" s="4">
        <v>1026</v>
      </c>
      <c r="F198" s="1">
        <v>205.2</v>
      </c>
      <c r="G198" s="12">
        <v>34425</v>
      </c>
      <c r="H198" s="4">
        <v>300</v>
      </c>
      <c r="I198" s="1">
        <v>30</v>
      </c>
      <c r="J198" s="5">
        <v>10</v>
      </c>
      <c r="K198" s="4">
        <v>150</v>
      </c>
      <c r="L198" s="1">
        <v>15</v>
      </c>
      <c r="M198" s="5">
        <v>10</v>
      </c>
      <c r="N198" s="4">
        <v>6500</v>
      </c>
      <c r="O198" s="1">
        <v>650</v>
      </c>
      <c r="P198" s="5">
        <v>10</v>
      </c>
      <c r="Q198" s="4">
        <v>850</v>
      </c>
      <c r="R198" s="1">
        <v>17</v>
      </c>
      <c r="S198" s="5">
        <v>4</v>
      </c>
      <c r="T198" s="4">
        <v>45</v>
      </c>
      <c r="U198" s="1">
        <v>2.25</v>
      </c>
      <c r="V198" s="5">
        <v>1.7</v>
      </c>
      <c r="W198" s="4">
        <v>100</v>
      </c>
      <c r="X198" s="5">
        <v>1</v>
      </c>
      <c r="Y198" s="4">
        <v>1300</v>
      </c>
      <c r="Z198" s="5">
        <v>78</v>
      </c>
    </row>
    <row r="199" spans="1:26" x14ac:dyDescent="0.25">
      <c r="A199" s="2" t="s">
        <v>123</v>
      </c>
      <c r="B199" s="6" t="s">
        <v>230</v>
      </c>
      <c r="D199" s="6" t="str">
        <f>VLOOKUP(TRIM(A199),wikily_maps!A:O,15,FALSE)</f>
        <v>Astraeos, Crystal Isles, Extinction, Fjordur, Genesis 2, Genesis, Lost Island, Ragnarok, Scorched Earth, The Center, The Island, Valguero</v>
      </c>
      <c r="E199" s="4">
        <v>200</v>
      </c>
      <c r="F199" s="1">
        <v>40</v>
      </c>
      <c r="G199" s="5">
        <v>5.4</v>
      </c>
      <c r="H199" s="4">
        <v>450</v>
      </c>
      <c r="I199" s="1">
        <v>45</v>
      </c>
      <c r="J199" s="5">
        <v>10</v>
      </c>
      <c r="K199" s="4">
        <v>150</v>
      </c>
      <c r="L199" s="1">
        <v>15</v>
      </c>
      <c r="M199" s="5">
        <v>10</v>
      </c>
      <c r="N199" s="4">
        <v>1500</v>
      </c>
      <c r="O199" s="1">
        <v>150</v>
      </c>
      <c r="P199" s="5">
        <v>10</v>
      </c>
      <c r="Q199" s="4">
        <v>480</v>
      </c>
      <c r="R199" s="1">
        <v>9.6</v>
      </c>
      <c r="S199" s="5">
        <v>4</v>
      </c>
      <c r="T199" s="4">
        <v>12</v>
      </c>
      <c r="U199" s="1">
        <v>0.6</v>
      </c>
      <c r="V199" s="5">
        <v>1.7</v>
      </c>
      <c r="W199" s="4">
        <v>100</v>
      </c>
      <c r="X199" s="5">
        <v>1</v>
      </c>
      <c r="Y199" s="4">
        <v>150</v>
      </c>
      <c r="Z199" s="5">
        <v>9</v>
      </c>
    </row>
    <row r="200" spans="1:26" x14ac:dyDescent="0.25">
      <c r="A200" s="2" t="s">
        <v>124</v>
      </c>
      <c r="B200" s="6" t="s">
        <v>230</v>
      </c>
      <c r="D200" s="6" t="str">
        <f>VLOOKUP(TRIM(A200),wikily_maps!A:O,15,FALSE)</f>
        <v>Astraeos, Crystal Isles, Extinction, Fjordur, Genesis 2, Genesis, Lost Island, Ragnarok, Scorched Earth, The Center, The Island, Valguero</v>
      </c>
      <c r="E200" s="4">
        <v>120</v>
      </c>
      <c r="F200" s="1">
        <v>24</v>
      </c>
      <c r="G200" s="5">
        <v>5.4</v>
      </c>
      <c r="H200" s="4">
        <v>100</v>
      </c>
      <c r="I200" s="1">
        <v>10</v>
      </c>
      <c r="J200" s="5">
        <v>10</v>
      </c>
      <c r="K200" s="4">
        <v>150</v>
      </c>
      <c r="L200" s="1">
        <v>15</v>
      </c>
      <c r="M200" s="5">
        <v>10</v>
      </c>
      <c r="N200" s="4">
        <v>450</v>
      </c>
      <c r="O200" s="1">
        <v>45</v>
      </c>
      <c r="P200" s="5">
        <v>10</v>
      </c>
      <c r="Q200" s="4">
        <v>55</v>
      </c>
      <c r="R200" s="1">
        <v>1.1000000000000001</v>
      </c>
      <c r="S200" s="5">
        <v>4</v>
      </c>
      <c r="T200" s="4">
        <v>10</v>
      </c>
      <c r="U200" s="1">
        <v>0.5</v>
      </c>
      <c r="V200" s="5">
        <v>1.7</v>
      </c>
      <c r="W200" s="4">
        <v>100</v>
      </c>
      <c r="X200" s="5">
        <v>1</v>
      </c>
      <c r="Y200" s="4">
        <v>30</v>
      </c>
      <c r="Z200" s="5">
        <v>1.8</v>
      </c>
    </row>
    <row r="201" spans="1:26" x14ac:dyDescent="0.25">
      <c r="A201" s="2" t="s">
        <v>125</v>
      </c>
      <c r="B201" s="6" t="s">
        <v>230</v>
      </c>
      <c r="D201" s="6" t="str">
        <f>VLOOKUP(TRIM(A201),wikily_maps!A:O,15,FALSE)</f>
        <v>Astraeos, Crystal Isles, Fjordur, Genesis, Lost Island, Ragnarok, The Center, The Island, Valguero</v>
      </c>
      <c r="E201" s="4">
        <v>240</v>
      </c>
      <c r="F201" s="1">
        <v>48</v>
      </c>
      <c r="G201" s="5">
        <v>5.4</v>
      </c>
      <c r="H201" s="4">
        <v>180</v>
      </c>
      <c r="I201" s="1">
        <v>9</v>
      </c>
      <c r="J201" s="5">
        <v>4</v>
      </c>
      <c r="K201" s="4">
        <v>150</v>
      </c>
      <c r="L201" s="1">
        <v>15</v>
      </c>
      <c r="M201" s="5">
        <v>10</v>
      </c>
      <c r="N201" s="4">
        <v>1200</v>
      </c>
      <c r="O201" s="1">
        <v>120</v>
      </c>
      <c r="P201" s="5">
        <v>10</v>
      </c>
      <c r="Q201" s="4">
        <v>150</v>
      </c>
      <c r="R201" s="1">
        <v>3</v>
      </c>
      <c r="S201" s="5">
        <v>3</v>
      </c>
      <c r="T201" s="4">
        <v>16</v>
      </c>
      <c r="U201" s="1">
        <v>0.8</v>
      </c>
      <c r="V201" s="12">
        <v>1275</v>
      </c>
      <c r="W201" s="4">
        <v>100</v>
      </c>
      <c r="X201" s="5">
        <v>0</v>
      </c>
      <c r="Y201" s="4">
        <v>120</v>
      </c>
      <c r="Z201" s="5">
        <v>7.2</v>
      </c>
    </row>
    <row r="202" spans="1:26" x14ac:dyDescent="0.25">
      <c r="A202" s="2" t="s">
        <v>126</v>
      </c>
      <c r="B202" s="6" t="s">
        <v>230</v>
      </c>
      <c r="D202" s="6" t="str">
        <f>VLOOKUP(TRIM(A202),wikily_maps!A:O,15,FALSE)</f>
        <v>Astraeos, Crystal Isles, Extinction, Fjordur, Genesis 2, Genesis, Lost Island, Ragnarok, The Center, The Island, Valguero</v>
      </c>
      <c r="E202" s="4">
        <v>300</v>
      </c>
      <c r="F202" s="1">
        <v>60</v>
      </c>
      <c r="G202" s="5">
        <v>5.4</v>
      </c>
      <c r="H202" s="4">
        <v>300</v>
      </c>
      <c r="I202" s="1">
        <v>30</v>
      </c>
      <c r="J202" s="5">
        <v>10</v>
      </c>
      <c r="K202" s="4">
        <v>150</v>
      </c>
      <c r="L202" s="1">
        <v>15</v>
      </c>
      <c r="M202" s="5">
        <v>10</v>
      </c>
      <c r="N202" s="4">
        <v>3000</v>
      </c>
      <c r="O202" s="1">
        <v>300</v>
      </c>
      <c r="P202" s="5">
        <v>10</v>
      </c>
      <c r="Q202" s="4">
        <v>200</v>
      </c>
      <c r="R202" s="1">
        <v>4</v>
      </c>
      <c r="S202" s="5">
        <v>4</v>
      </c>
      <c r="T202" s="4">
        <v>10</v>
      </c>
      <c r="U202" s="1">
        <v>0.5</v>
      </c>
      <c r="V202" s="5">
        <v>1.7</v>
      </c>
      <c r="W202" s="4">
        <v>100</v>
      </c>
      <c r="X202" s="5">
        <v>1</v>
      </c>
      <c r="Y202" s="4">
        <v>240</v>
      </c>
      <c r="Z202" s="5">
        <v>14.4</v>
      </c>
    </row>
    <row r="203" spans="1:26" x14ac:dyDescent="0.25">
      <c r="A203" s="2" t="s">
        <v>127</v>
      </c>
      <c r="B203" s="6" t="s">
        <v>230</v>
      </c>
      <c r="D203" s="6" t="str">
        <f>VLOOKUP(TRIM(A203),wikily_maps!A:O,15,FALSE)</f>
        <v>Scorched Earth</v>
      </c>
      <c r="E203" s="4">
        <v>640</v>
      </c>
      <c r="F203" s="1">
        <v>128</v>
      </c>
      <c r="G203" s="5">
        <v>5.4</v>
      </c>
      <c r="H203" s="4">
        <v>352</v>
      </c>
      <c r="I203" s="1">
        <v>35.200000000000003</v>
      </c>
      <c r="J203" s="5">
        <v>10</v>
      </c>
      <c r="K203" s="4">
        <v>150</v>
      </c>
      <c r="L203" s="1">
        <v>15</v>
      </c>
      <c r="M203" s="5">
        <v>10</v>
      </c>
      <c r="N203" s="4">
        <v>1500</v>
      </c>
      <c r="O203" s="1">
        <v>150</v>
      </c>
      <c r="P203" s="5">
        <v>10</v>
      </c>
      <c r="Q203" s="4">
        <v>324</v>
      </c>
      <c r="R203" s="1">
        <v>6.48</v>
      </c>
      <c r="S203" s="5">
        <v>4</v>
      </c>
      <c r="T203" s="4">
        <v>14</v>
      </c>
      <c r="U203" s="1">
        <v>0.7</v>
      </c>
      <c r="V203" s="5">
        <v>1.7</v>
      </c>
      <c r="W203" s="4">
        <v>100</v>
      </c>
      <c r="X203" s="5">
        <v>0</v>
      </c>
      <c r="Y203" s="4">
        <v>200</v>
      </c>
      <c r="Z203" s="5">
        <v>12</v>
      </c>
    </row>
    <row r="204" spans="1:26" x14ac:dyDescent="0.25">
      <c r="A204" s="2" t="s">
        <v>128</v>
      </c>
      <c r="B204" s="6" t="s">
        <v>230</v>
      </c>
      <c r="D204" s="6" t="str">
        <f>VLOOKUP(TRIM(A204),wikily_maps!A:O,15,FALSE)</f>
        <v>Crystal Isles, Fjordur, Genesis 2, Genesis, Lost Island, Ragnarok, The Center, The Island</v>
      </c>
      <c r="E204" s="4">
        <v>2400</v>
      </c>
      <c r="F204" s="1">
        <v>288</v>
      </c>
      <c r="G204" s="5">
        <v>3.24</v>
      </c>
      <c r="H204" s="4">
        <v>800</v>
      </c>
      <c r="I204" s="1">
        <v>80</v>
      </c>
      <c r="J204" s="5">
        <v>10</v>
      </c>
      <c r="K204" s="4">
        <v>150</v>
      </c>
      <c r="L204" s="1">
        <v>15</v>
      </c>
      <c r="M204" s="5">
        <v>0</v>
      </c>
      <c r="N204" s="4">
        <v>5000</v>
      </c>
      <c r="O204" s="1">
        <v>500</v>
      </c>
      <c r="P204" s="5">
        <v>10</v>
      </c>
      <c r="Q204" s="4">
        <v>800</v>
      </c>
      <c r="R204" s="1">
        <v>16</v>
      </c>
      <c r="S204" s="5">
        <v>4</v>
      </c>
      <c r="T204" s="4">
        <v>75</v>
      </c>
      <c r="U204" s="1">
        <v>3.75</v>
      </c>
      <c r="V204" s="5">
        <v>1.7</v>
      </c>
      <c r="W204" s="4">
        <v>100</v>
      </c>
      <c r="X204" s="5">
        <v>0.5</v>
      </c>
      <c r="Y204" s="4">
        <v>1600</v>
      </c>
      <c r="Z204" s="5">
        <v>96</v>
      </c>
    </row>
    <row r="205" spans="1:26" x14ac:dyDescent="0.25">
      <c r="A205" s="2" t="s">
        <v>129</v>
      </c>
      <c r="B205" s="6" t="s">
        <v>230</v>
      </c>
      <c r="D205" s="6" t="str">
        <f>VLOOKUP(TRIM(A205),wikily_maps!A:O,15,FALSE)</f>
        <v>Astraeos, Crystal Isles, Extinction, Fjordur, Genesis 2, Genesis, Lost Island, Ragnarok, Scorched Earth, The Center, The Island, Valguero</v>
      </c>
      <c r="E205" s="4">
        <v>400</v>
      </c>
      <c r="F205" s="1">
        <v>80</v>
      </c>
      <c r="G205" s="5">
        <v>5.4</v>
      </c>
      <c r="H205" s="4">
        <v>350</v>
      </c>
      <c r="I205" s="1">
        <v>35</v>
      </c>
      <c r="J205" s="5">
        <v>10</v>
      </c>
      <c r="K205" s="4">
        <v>150</v>
      </c>
      <c r="L205" s="1">
        <v>15</v>
      </c>
      <c r="M205" s="5">
        <v>10</v>
      </c>
      <c r="N205" s="4">
        <v>1500</v>
      </c>
      <c r="O205" s="1">
        <v>150</v>
      </c>
      <c r="P205" s="5">
        <v>10</v>
      </c>
      <c r="Q205" s="4">
        <v>550</v>
      </c>
      <c r="R205" s="1">
        <v>11</v>
      </c>
      <c r="S205" s="5">
        <v>4</v>
      </c>
      <c r="T205" s="4">
        <v>20</v>
      </c>
      <c r="U205" s="1">
        <v>1</v>
      </c>
      <c r="V205" s="5">
        <v>1.7</v>
      </c>
      <c r="W205" s="4">
        <v>100</v>
      </c>
      <c r="X205" s="5">
        <v>1</v>
      </c>
      <c r="Y205" s="4">
        <v>350</v>
      </c>
      <c r="Z205" s="5">
        <v>21</v>
      </c>
    </row>
    <row r="206" spans="1:26" x14ac:dyDescent="0.25">
      <c r="A206" s="2" t="s">
        <v>130</v>
      </c>
      <c r="B206" s="6" t="s">
        <v>230</v>
      </c>
      <c r="D206" s="6" t="str">
        <f>VLOOKUP(TRIM(A206),wikily_maps!A:O,15,FALSE)</f>
        <v>Astraeos, Crystal Isles, Extinction, Fjordur, Genesis 2, Genesis, Lost Island, Ragnarok, The Center, The Island, Valguero</v>
      </c>
      <c r="E206" s="4">
        <v>210</v>
      </c>
      <c r="F206" s="1">
        <v>42</v>
      </c>
      <c r="G206" s="5">
        <v>3</v>
      </c>
      <c r="H206" s="4">
        <v>150</v>
      </c>
      <c r="I206" s="1">
        <v>7.5</v>
      </c>
      <c r="J206" s="5">
        <v>4</v>
      </c>
      <c r="K206" s="4">
        <v>150</v>
      </c>
      <c r="L206" s="1">
        <v>15</v>
      </c>
      <c r="M206" s="5">
        <v>10</v>
      </c>
      <c r="N206" s="4">
        <v>1200</v>
      </c>
      <c r="O206" s="1">
        <v>120</v>
      </c>
      <c r="P206" s="5">
        <v>10</v>
      </c>
      <c r="Q206" s="4">
        <v>120</v>
      </c>
      <c r="R206" s="1">
        <v>2.4</v>
      </c>
      <c r="S206" s="5">
        <v>3</v>
      </c>
      <c r="T206" s="4">
        <v>18</v>
      </c>
      <c r="U206" s="1">
        <v>0.9</v>
      </c>
      <c r="V206" s="12">
        <v>1275</v>
      </c>
      <c r="W206" s="4">
        <v>100</v>
      </c>
      <c r="X206" s="5">
        <v>0</v>
      </c>
      <c r="Y206" s="4">
        <v>120</v>
      </c>
      <c r="Z206" s="5">
        <v>7.2</v>
      </c>
    </row>
    <row r="207" spans="1:26" x14ac:dyDescent="0.25">
      <c r="A207" s="2" t="s">
        <v>131</v>
      </c>
      <c r="B207" s="6" t="s">
        <v>230</v>
      </c>
      <c r="D207" s="6" t="str">
        <f>VLOOKUP(TRIM(A207),wikily_maps!A:O,15,FALSE)</f>
        <v>Astraeos, Crystal Isles, Extinction, Fjordur, Genesis 2, Genesis, Lost Island, Ragnarok, Scorched Earth, The Center, The Island, Valguero</v>
      </c>
      <c r="E207" s="4">
        <v>280</v>
      </c>
      <c r="F207" s="1">
        <v>56</v>
      </c>
      <c r="G207" s="5">
        <v>5.4</v>
      </c>
      <c r="H207" s="4">
        <v>200</v>
      </c>
      <c r="I207" s="1">
        <v>20</v>
      </c>
      <c r="J207" s="5">
        <v>10</v>
      </c>
      <c r="K207" s="4">
        <v>150</v>
      </c>
      <c r="L207" s="1">
        <v>15</v>
      </c>
      <c r="M207" s="5">
        <v>10</v>
      </c>
      <c r="N207" s="4">
        <v>1500</v>
      </c>
      <c r="O207" s="1">
        <v>150</v>
      </c>
      <c r="P207" s="5">
        <v>10</v>
      </c>
      <c r="Q207" s="4">
        <v>200</v>
      </c>
      <c r="R207" s="1">
        <v>4</v>
      </c>
      <c r="S207" s="5">
        <v>4</v>
      </c>
      <c r="T207" s="4">
        <v>15</v>
      </c>
      <c r="U207" s="1">
        <v>0.75</v>
      </c>
      <c r="V207" s="5">
        <v>1.7</v>
      </c>
      <c r="W207" s="4">
        <v>100</v>
      </c>
      <c r="X207" s="5">
        <v>1</v>
      </c>
      <c r="Y207" s="4">
        <v>150</v>
      </c>
      <c r="Z207" s="5">
        <v>9</v>
      </c>
    </row>
    <row r="208" spans="1:26" x14ac:dyDescent="0.25">
      <c r="A208" s="2" t="s">
        <v>132</v>
      </c>
      <c r="B208" s="6" t="s">
        <v>230</v>
      </c>
      <c r="D208" s="6" t="str">
        <f>VLOOKUP(TRIM(A208),wikily_maps!A:O,15,FALSE)</f>
        <v>Astraeos, Crystal Isles, Extinction, Fjordur, Genesis 2, Genesis, Lost Island, Ragnarok, Scorched Earth, The Center, The Island, Valguero</v>
      </c>
      <c r="E208" s="4">
        <v>275</v>
      </c>
      <c r="F208" s="1">
        <v>55</v>
      </c>
      <c r="G208" s="5">
        <v>5.4</v>
      </c>
      <c r="H208" s="4">
        <v>300</v>
      </c>
      <c r="I208" s="1">
        <v>30</v>
      </c>
      <c r="J208" s="5">
        <v>10</v>
      </c>
      <c r="K208" s="4">
        <v>150</v>
      </c>
      <c r="L208" s="1">
        <v>15</v>
      </c>
      <c r="M208" s="5">
        <v>10</v>
      </c>
      <c r="N208" s="4">
        <v>4000</v>
      </c>
      <c r="O208" s="1">
        <v>400</v>
      </c>
      <c r="P208" s="5">
        <v>10</v>
      </c>
      <c r="Q208" s="4">
        <v>400</v>
      </c>
      <c r="R208" s="1">
        <v>8</v>
      </c>
      <c r="S208" s="5">
        <v>4</v>
      </c>
      <c r="T208" s="4">
        <v>32</v>
      </c>
      <c r="U208" s="1">
        <v>1.6</v>
      </c>
      <c r="V208" s="5">
        <v>1.7</v>
      </c>
      <c r="W208" s="4">
        <v>100</v>
      </c>
      <c r="X208" s="5">
        <v>1</v>
      </c>
      <c r="Y208" s="4">
        <v>500</v>
      </c>
      <c r="Z208" s="5">
        <v>30</v>
      </c>
    </row>
    <row r="209" spans="1:26" x14ac:dyDescent="0.25">
      <c r="A209" s="2" t="s">
        <v>133</v>
      </c>
      <c r="B209" s="6" t="s">
        <v>230</v>
      </c>
      <c r="D209" s="6" t="str">
        <f>VLOOKUP(TRIM(A209),wikily_maps!A:O,15,FALSE)</f>
        <v>Aberration, Astraeos, Scorched Earth, The Center, Valguero</v>
      </c>
      <c r="E209" s="4">
        <v>600</v>
      </c>
      <c r="F209" s="1">
        <v>120</v>
      </c>
      <c r="G209" s="5">
        <v>5.4</v>
      </c>
      <c r="H209" s="4">
        <v>350</v>
      </c>
      <c r="I209" s="1">
        <v>35</v>
      </c>
      <c r="J209" s="5">
        <v>10</v>
      </c>
      <c r="K209" s="4">
        <v>150</v>
      </c>
      <c r="L209" s="1">
        <v>15</v>
      </c>
      <c r="M209" s="5">
        <v>10</v>
      </c>
      <c r="N209" s="4">
        <v>1000</v>
      </c>
      <c r="O209" s="1">
        <v>100</v>
      </c>
      <c r="P209" s="5">
        <v>10</v>
      </c>
      <c r="Q209" s="4">
        <v>300</v>
      </c>
      <c r="R209" s="1">
        <v>6</v>
      </c>
      <c r="S209" s="5">
        <v>4</v>
      </c>
      <c r="T209" s="4">
        <v>35</v>
      </c>
      <c r="U209" s="1">
        <v>1.75</v>
      </c>
      <c r="V209" s="5">
        <v>1.7</v>
      </c>
      <c r="W209" s="4">
        <v>100</v>
      </c>
      <c r="X209" s="5">
        <v>1</v>
      </c>
      <c r="Y209" s="4">
        <v>500</v>
      </c>
      <c r="Z209" s="5">
        <v>30</v>
      </c>
    </row>
    <row r="210" spans="1:26" x14ac:dyDescent="0.25">
      <c r="A210" s="2" t="s">
        <v>134</v>
      </c>
      <c r="B210" s="6" t="s">
        <v>230</v>
      </c>
      <c r="D210" s="6" t="str">
        <f>VLOOKUP(TRIM(A210),wikily_maps!A:O,15,FALSE)</f>
        <v>Astraeos, Crystal Isles, Extinction, Fjordur, Genesis 2, Lost Island, Ragnarok, The Center, The Island, Valguero</v>
      </c>
      <c r="E210" s="4">
        <v>1200</v>
      </c>
      <c r="F210" s="1">
        <v>240</v>
      </c>
      <c r="G210" s="5">
        <v>2.16</v>
      </c>
      <c r="H210" s="4">
        <v>800</v>
      </c>
      <c r="I210" s="1">
        <v>40</v>
      </c>
      <c r="J210" s="5">
        <v>5</v>
      </c>
      <c r="K210" s="4">
        <v>150</v>
      </c>
      <c r="L210" s="1">
        <v>15</v>
      </c>
      <c r="M210" s="5">
        <v>10</v>
      </c>
      <c r="N210" s="4">
        <v>1200</v>
      </c>
      <c r="O210" s="1">
        <v>120</v>
      </c>
      <c r="P210" s="5">
        <v>10</v>
      </c>
      <c r="Q210" s="4">
        <v>800</v>
      </c>
      <c r="R210" s="1">
        <v>16</v>
      </c>
      <c r="S210" s="5">
        <v>5</v>
      </c>
      <c r="T210" s="4">
        <v>32</v>
      </c>
      <c r="U210" s="1">
        <v>1.28</v>
      </c>
      <c r="V210" s="5">
        <v>1.7</v>
      </c>
      <c r="W210" s="4">
        <v>100</v>
      </c>
      <c r="X210" s="5">
        <v>0</v>
      </c>
      <c r="Y210" s="4">
        <v>1850</v>
      </c>
      <c r="Z210" s="5">
        <v>111</v>
      </c>
    </row>
    <row r="211" spans="1:26" x14ac:dyDescent="0.25">
      <c r="A211" s="2" t="s">
        <v>135</v>
      </c>
      <c r="B211" s="6" t="s">
        <v>230</v>
      </c>
      <c r="D211" s="6" t="str">
        <f>VLOOKUP(TRIM(A211),wikily_maps!A:O,15,FALSE)</f>
        <v>Astraeos, Crystal Isles, Extinction, Fjordur, Genesis 2, Lost Island, Ragnarok, Scorched Earth, The Center, The Island, Valguero</v>
      </c>
      <c r="E211" s="4">
        <v>200</v>
      </c>
      <c r="F211" s="1">
        <v>40</v>
      </c>
      <c r="G211" s="5">
        <v>5.4</v>
      </c>
      <c r="H211" s="4">
        <v>150</v>
      </c>
      <c r="I211" s="1">
        <v>15</v>
      </c>
      <c r="J211" s="5">
        <v>10</v>
      </c>
      <c r="K211" s="4">
        <v>150</v>
      </c>
      <c r="L211" s="1">
        <v>15</v>
      </c>
      <c r="M211" s="5">
        <v>10</v>
      </c>
      <c r="N211" s="4">
        <v>1200</v>
      </c>
      <c r="O211" s="1">
        <v>120</v>
      </c>
      <c r="P211" s="5">
        <v>10</v>
      </c>
      <c r="Q211" s="4">
        <v>140</v>
      </c>
      <c r="R211" s="1">
        <v>2.8</v>
      </c>
      <c r="S211" s="5">
        <v>4</v>
      </c>
      <c r="T211" s="4">
        <v>15</v>
      </c>
      <c r="U211" s="1">
        <v>0.75</v>
      </c>
      <c r="V211" s="5">
        <v>1.7</v>
      </c>
      <c r="W211" s="4">
        <v>100</v>
      </c>
      <c r="X211" s="5">
        <v>1.5</v>
      </c>
      <c r="Y211" s="4">
        <v>180</v>
      </c>
      <c r="Z211" s="5">
        <v>10.8</v>
      </c>
    </row>
    <row r="212" spans="1:26" x14ac:dyDescent="0.25">
      <c r="A212" s="2" t="s">
        <v>136</v>
      </c>
      <c r="B212" s="6" t="s">
        <v>230</v>
      </c>
      <c r="D212" s="6" t="str">
        <f>VLOOKUP(TRIM(A212),wikily_maps!A:O,15,FALSE)</f>
        <v>Aberration, Astraeos, Crystal Isles, Fjordur, Genesis 2, Genesis, Lost Island, Valguero</v>
      </c>
      <c r="E212" s="4">
        <v>400</v>
      </c>
      <c r="F212" s="1">
        <v>80</v>
      </c>
      <c r="G212" s="5">
        <v>5.4</v>
      </c>
      <c r="H212" s="4">
        <v>350</v>
      </c>
      <c r="I212" s="1">
        <v>35</v>
      </c>
      <c r="J212" s="5">
        <v>10</v>
      </c>
      <c r="K212" s="4">
        <v>150</v>
      </c>
      <c r="L212" s="1">
        <v>15</v>
      </c>
      <c r="M212" s="5">
        <v>10</v>
      </c>
      <c r="N212" s="4">
        <v>1200</v>
      </c>
      <c r="O212" s="1">
        <v>120</v>
      </c>
      <c r="P212" s="5">
        <v>10</v>
      </c>
      <c r="Q212" s="4">
        <v>500</v>
      </c>
      <c r="R212" s="1">
        <v>10</v>
      </c>
      <c r="S212" s="5">
        <v>4</v>
      </c>
      <c r="T212" s="4">
        <v>25</v>
      </c>
      <c r="U212" s="1">
        <v>1</v>
      </c>
      <c r="V212" s="5">
        <v>1.36</v>
      </c>
      <c r="W212" s="4">
        <v>100</v>
      </c>
      <c r="X212" s="5">
        <v>1</v>
      </c>
      <c r="Y212" s="4">
        <v>500</v>
      </c>
      <c r="Z212" s="5">
        <v>30</v>
      </c>
    </row>
    <row r="213" spans="1:26" x14ac:dyDescent="0.25">
      <c r="A213" s="2" t="s">
        <v>137</v>
      </c>
      <c r="B213" s="6" t="s">
        <v>230</v>
      </c>
      <c r="D213" s="20" t="s">
        <v>588</v>
      </c>
      <c r="E213" s="4">
        <v>45000</v>
      </c>
      <c r="F213" s="1">
        <v>234</v>
      </c>
      <c r="G213" s="5">
        <v>5.4</v>
      </c>
      <c r="H213" s="4">
        <v>480</v>
      </c>
      <c r="I213" s="1">
        <v>48</v>
      </c>
      <c r="J213" s="5">
        <v>0</v>
      </c>
      <c r="K213" s="4">
        <v>150</v>
      </c>
      <c r="L213" s="1">
        <v>15</v>
      </c>
      <c r="M213" s="5">
        <v>0</v>
      </c>
      <c r="N213" s="4">
        <v>3000</v>
      </c>
      <c r="O213" s="1">
        <v>300</v>
      </c>
      <c r="P213" s="5">
        <v>0</v>
      </c>
      <c r="Q213" s="4">
        <v>415</v>
      </c>
      <c r="R213" s="1">
        <v>8.3000000000000007</v>
      </c>
      <c r="S213" s="5">
        <v>0</v>
      </c>
      <c r="T213" s="4">
        <v>75</v>
      </c>
      <c r="U213" s="1">
        <v>3.75</v>
      </c>
      <c r="V213" s="5">
        <v>0</v>
      </c>
      <c r="W213" s="4">
        <v>100</v>
      </c>
      <c r="X213" s="5">
        <v>0</v>
      </c>
      <c r="Y213" s="4">
        <v>925</v>
      </c>
      <c r="Z213" s="5">
        <v>55.5</v>
      </c>
    </row>
    <row r="214" spans="1:26" x14ac:dyDescent="0.25">
      <c r="A214" s="2" t="s">
        <v>138</v>
      </c>
      <c r="B214" s="6" t="s">
        <v>230</v>
      </c>
      <c r="D214" s="6" t="str">
        <f>VLOOKUP(TRIM(A214),wikily_maps!A:O,15,FALSE)</f>
        <v>Astraeos, Crystal Isles, Extinction, Fjordur, Genesis 2, Lost Island, Ragnarok, Scorched Earth, The Center, The Island, Valguero</v>
      </c>
      <c r="E214" s="4">
        <v>1100</v>
      </c>
      <c r="F214" s="1">
        <v>220</v>
      </c>
      <c r="G214" s="5">
        <v>5.4</v>
      </c>
      <c r="H214" s="4">
        <v>420</v>
      </c>
      <c r="I214" s="1">
        <v>42</v>
      </c>
      <c r="J214" s="5">
        <v>10</v>
      </c>
      <c r="K214" s="4">
        <v>150</v>
      </c>
      <c r="L214" s="1">
        <v>15</v>
      </c>
      <c r="M214" s="5">
        <v>10</v>
      </c>
      <c r="N214" s="4">
        <v>3000</v>
      </c>
      <c r="O214" s="1">
        <v>300</v>
      </c>
      <c r="P214" s="5">
        <v>10</v>
      </c>
      <c r="Q214" s="4">
        <v>500</v>
      </c>
      <c r="R214" s="1">
        <v>10</v>
      </c>
      <c r="S214" s="5">
        <v>4</v>
      </c>
      <c r="T214" s="4">
        <v>62</v>
      </c>
      <c r="U214" s="1">
        <v>3.1</v>
      </c>
      <c r="V214" s="5">
        <v>1.7</v>
      </c>
      <c r="W214" s="4">
        <v>100</v>
      </c>
      <c r="X214" s="5">
        <v>1</v>
      </c>
      <c r="Y214" s="4">
        <v>1550</v>
      </c>
      <c r="Z214" s="5">
        <v>93</v>
      </c>
    </row>
    <row r="215" spans="1:26" x14ac:dyDescent="0.25">
      <c r="A215" s="2" t="s">
        <v>139</v>
      </c>
      <c r="B215" s="6" t="s">
        <v>230</v>
      </c>
      <c r="D215" s="6" t="str">
        <f>VLOOKUP(TRIM(A215),wikily_maps!A:O,15,FALSE)</f>
        <v>Astraeos, Lost Island, The Island, Valguero</v>
      </c>
      <c r="E215" s="4">
        <v>900</v>
      </c>
      <c r="F215" s="1">
        <v>153</v>
      </c>
      <c r="G215" s="5">
        <v>3.51</v>
      </c>
      <c r="H215" s="4">
        <v>350</v>
      </c>
      <c r="I215" s="1">
        <v>17.5</v>
      </c>
      <c r="J215" s="5">
        <v>6</v>
      </c>
      <c r="K215" s="4">
        <v>800</v>
      </c>
      <c r="L215" s="1">
        <v>80</v>
      </c>
      <c r="M215" s="5">
        <v>10</v>
      </c>
      <c r="N215" s="4">
        <v>1840</v>
      </c>
      <c r="O215" s="1">
        <v>184</v>
      </c>
      <c r="P215" s="5">
        <v>10</v>
      </c>
      <c r="Q215" s="4">
        <v>1100</v>
      </c>
      <c r="R215" s="1">
        <v>22</v>
      </c>
      <c r="S215" s="5">
        <v>4</v>
      </c>
      <c r="T215" s="4">
        <v>55</v>
      </c>
      <c r="U215" s="1">
        <v>2.75</v>
      </c>
      <c r="V215" s="5">
        <v>1.7</v>
      </c>
      <c r="W215" s="4">
        <v>100</v>
      </c>
      <c r="X215" s="5">
        <v>0</v>
      </c>
      <c r="Y215" s="4">
        <v>800</v>
      </c>
      <c r="Z215" s="5">
        <v>48</v>
      </c>
    </row>
    <row r="216" spans="1:26" x14ac:dyDescent="0.25">
      <c r="A216" s="2" t="s">
        <v>140</v>
      </c>
      <c r="B216" s="6" t="s">
        <v>230</v>
      </c>
      <c r="D216" s="6" t="str">
        <f>VLOOKUP(TRIM(A216),wikily_maps!A:O,15,FALSE)</f>
        <v>Aberration, Fjordur, Valguero</v>
      </c>
      <c r="E216" s="4">
        <v>1950</v>
      </c>
      <c r="F216" s="1">
        <v>165.75</v>
      </c>
      <c r="G216" s="5">
        <v>4.05</v>
      </c>
      <c r="H216" s="4">
        <v>450</v>
      </c>
      <c r="I216" s="1">
        <v>22.5</v>
      </c>
      <c r="J216" s="5">
        <v>5</v>
      </c>
      <c r="K216" s="4">
        <v>150</v>
      </c>
      <c r="L216" s="1">
        <v>15</v>
      </c>
      <c r="M216" s="5">
        <v>10</v>
      </c>
      <c r="N216" s="4">
        <v>2000</v>
      </c>
      <c r="O216" s="1">
        <v>200</v>
      </c>
      <c r="P216" s="5">
        <v>10</v>
      </c>
      <c r="Q216" s="4">
        <v>400</v>
      </c>
      <c r="R216" s="1">
        <v>8</v>
      </c>
      <c r="S216" s="5">
        <v>4</v>
      </c>
      <c r="T216" s="4">
        <v>60</v>
      </c>
      <c r="U216" s="1">
        <v>3</v>
      </c>
      <c r="V216" s="5">
        <v>1.7</v>
      </c>
      <c r="W216" s="4">
        <v>100</v>
      </c>
      <c r="X216" s="5">
        <v>0</v>
      </c>
      <c r="Y216" s="4">
        <v>725</v>
      </c>
      <c r="Z216" s="5">
        <v>43.5</v>
      </c>
    </row>
    <row r="217" spans="1:26" x14ac:dyDescent="0.25">
      <c r="A217" s="2" t="s">
        <v>141</v>
      </c>
      <c r="B217" s="6" t="s">
        <v>230</v>
      </c>
      <c r="D217" s="6" t="str">
        <f>VLOOKUP(TRIM(A217),wikily_maps!A:O,15,FALSE)</f>
        <v>Astraeos, Crystal Isles, Extinction, Genesis 2, Genesis, Lost Island, Ragnarok, Scorched Earth</v>
      </c>
      <c r="E217" s="4">
        <v>25000</v>
      </c>
      <c r="F217" s="1">
        <v>312.5</v>
      </c>
      <c r="G217" s="5">
        <v>2.7</v>
      </c>
      <c r="H217" s="4">
        <v>300</v>
      </c>
      <c r="I217" s="1">
        <v>30</v>
      </c>
      <c r="J217" s="5">
        <v>10</v>
      </c>
      <c r="K217" s="4">
        <v>150</v>
      </c>
      <c r="L217" s="1">
        <v>15</v>
      </c>
      <c r="M217" s="5">
        <v>0</v>
      </c>
      <c r="N217" s="4">
        <v>6000</v>
      </c>
      <c r="O217" s="1">
        <v>600</v>
      </c>
      <c r="P217" s="5">
        <v>10</v>
      </c>
      <c r="Q217" s="4">
        <v>660</v>
      </c>
      <c r="R217" s="1">
        <v>13.2</v>
      </c>
      <c r="S217" s="5">
        <v>4</v>
      </c>
      <c r="T217" s="4">
        <v>120</v>
      </c>
      <c r="U217" s="1">
        <v>6</v>
      </c>
      <c r="V217" s="5">
        <v>1.7</v>
      </c>
      <c r="W217" s="4">
        <v>100</v>
      </c>
      <c r="X217" s="5">
        <v>1</v>
      </c>
      <c r="Y217" s="4">
        <v>5000</v>
      </c>
      <c r="Z217" s="5">
        <v>300</v>
      </c>
    </row>
    <row r="218" spans="1:26" x14ac:dyDescent="0.25">
      <c r="A218" s="2" t="s">
        <v>228</v>
      </c>
      <c r="B218" s="6" t="s">
        <v>178</v>
      </c>
      <c r="C218" s="6" t="s">
        <v>737</v>
      </c>
      <c r="D218" s="6" t="s">
        <v>206</v>
      </c>
      <c r="E218" s="4">
        <v>42000</v>
      </c>
      <c r="F218" s="5">
        <v>0</v>
      </c>
      <c r="G218" s="5">
        <v>0</v>
      </c>
      <c r="H218" s="4">
        <v>400</v>
      </c>
      <c r="I218" s="5">
        <v>0</v>
      </c>
      <c r="J218" s="5">
        <v>0</v>
      </c>
      <c r="K218" s="4">
        <v>2000</v>
      </c>
      <c r="L218" s="5">
        <v>0</v>
      </c>
      <c r="M218" s="5">
        <v>0</v>
      </c>
      <c r="N218" s="4">
        <v>2600</v>
      </c>
      <c r="O218" s="5">
        <v>0</v>
      </c>
      <c r="P218" s="5">
        <v>0</v>
      </c>
      <c r="Q218" s="4">
        <v>3000</v>
      </c>
      <c r="R218" s="5">
        <v>0</v>
      </c>
      <c r="S218" s="5">
        <v>0</v>
      </c>
      <c r="T218" s="4">
        <v>450</v>
      </c>
      <c r="U218" s="5">
        <v>0</v>
      </c>
      <c r="V218" s="5">
        <v>0</v>
      </c>
      <c r="W218" s="4">
        <v>100</v>
      </c>
      <c r="X218" s="5">
        <v>0</v>
      </c>
      <c r="Y218" s="4">
        <v>350</v>
      </c>
      <c r="Z218" s="5">
        <v>0</v>
      </c>
    </row>
    <row r="219" spans="1:26" x14ac:dyDescent="0.25">
      <c r="A219" s="2" t="s">
        <v>228</v>
      </c>
      <c r="B219" s="6" t="s">
        <v>177</v>
      </c>
      <c r="C219" s="6" t="s">
        <v>738</v>
      </c>
      <c r="D219" s="6" t="s">
        <v>206</v>
      </c>
      <c r="E219" s="4">
        <v>68500</v>
      </c>
      <c r="F219" s="5">
        <v>0</v>
      </c>
      <c r="G219" s="5">
        <v>0</v>
      </c>
      <c r="H219" s="4">
        <v>400</v>
      </c>
      <c r="I219" s="5">
        <v>0</v>
      </c>
      <c r="J219" s="5">
        <v>0</v>
      </c>
      <c r="K219" s="4">
        <v>2000</v>
      </c>
      <c r="L219" s="5">
        <v>0</v>
      </c>
      <c r="M219" s="5">
        <v>0</v>
      </c>
      <c r="N219" s="4">
        <v>2600</v>
      </c>
      <c r="O219" s="5">
        <v>0</v>
      </c>
      <c r="P219" s="5">
        <v>0</v>
      </c>
      <c r="Q219" s="4">
        <v>3000</v>
      </c>
      <c r="R219" s="5">
        <v>0</v>
      </c>
      <c r="S219" s="5">
        <v>0</v>
      </c>
      <c r="T219" s="4">
        <v>550</v>
      </c>
      <c r="U219" s="5">
        <v>0</v>
      </c>
      <c r="V219" s="5">
        <v>0</v>
      </c>
      <c r="W219" s="4">
        <v>100</v>
      </c>
      <c r="X219" s="5">
        <v>0</v>
      </c>
      <c r="Y219" s="4">
        <v>350</v>
      </c>
      <c r="Z219" s="5">
        <v>0</v>
      </c>
    </row>
    <row r="220" spans="1:26" x14ac:dyDescent="0.25">
      <c r="A220" s="2" t="s">
        <v>228</v>
      </c>
      <c r="B220" s="6" t="s">
        <v>176</v>
      </c>
      <c r="C220" s="6" t="s">
        <v>739</v>
      </c>
      <c r="D220" s="6" t="s">
        <v>206</v>
      </c>
      <c r="E220" s="4">
        <v>115000</v>
      </c>
      <c r="F220" s="5">
        <v>0</v>
      </c>
      <c r="G220" s="5">
        <v>0</v>
      </c>
      <c r="H220" s="4">
        <v>400</v>
      </c>
      <c r="I220" s="5">
        <v>0</v>
      </c>
      <c r="J220" s="5">
        <v>0</v>
      </c>
      <c r="K220" s="4">
        <v>2000</v>
      </c>
      <c r="L220" s="5">
        <v>0</v>
      </c>
      <c r="M220" s="5">
        <v>0</v>
      </c>
      <c r="N220" s="4">
        <v>2600</v>
      </c>
      <c r="O220" s="5">
        <v>0</v>
      </c>
      <c r="P220" s="5">
        <v>0</v>
      </c>
      <c r="Q220" s="4">
        <v>3000</v>
      </c>
      <c r="R220" s="5">
        <v>0</v>
      </c>
      <c r="S220" s="5">
        <v>0</v>
      </c>
      <c r="T220" s="4">
        <v>650</v>
      </c>
      <c r="U220" s="5">
        <v>0</v>
      </c>
      <c r="V220" s="5">
        <v>0</v>
      </c>
      <c r="W220" s="4">
        <v>100</v>
      </c>
      <c r="X220" s="5">
        <v>0</v>
      </c>
      <c r="Y220" s="4">
        <v>350</v>
      </c>
      <c r="Z220" s="5">
        <v>0</v>
      </c>
    </row>
    <row r="221" spans="1:26" x14ac:dyDescent="0.25">
      <c r="A221" s="2" t="s">
        <v>142</v>
      </c>
      <c r="B221" s="6" t="s">
        <v>230</v>
      </c>
      <c r="D221" s="6" t="str">
        <f>VLOOKUP(TRIM(A221),wikily_maps!A:O,15,FALSE)</f>
        <v>Aberration, Astraeos, Fjordur, Genesis 2, Genesis, Valguero</v>
      </c>
      <c r="E221" s="4">
        <v>850</v>
      </c>
      <c r="F221" s="1">
        <v>170</v>
      </c>
      <c r="G221" s="5">
        <v>5.4</v>
      </c>
      <c r="H221" s="4">
        <v>300</v>
      </c>
      <c r="I221" s="1">
        <v>30</v>
      </c>
      <c r="J221" s="5">
        <v>10</v>
      </c>
      <c r="K221" s="4">
        <v>150</v>
      </c>
      <c r="L221" s="1">
        <v>15</v>
      </c>
      <c r="M221" s="5">
        <v>10</v>
      </c>
      <c r="N221" s="4">
        <v>3000</v>
      </c>
      <c r="O221" s="1">
        <v>300</v>
      </c>
      <c r="P221" s="5">
        <v>10</v>
      </c>
      <c r="Q221" s="4">
        <v>400</v>
      </c>
      <c r="R221" s="1">
        <v>8</v>
      </c>
      <c r="S221" s="5">
        <v>4</v>
      </c>
      <c r="T221" s="4">
        <v>42</v>
      </c>
      <c r="U221" s="1">
        <v>2.1</v>
      </c>
      <c r="V221" s="5">
        <v>1.7</v>
      </c>
      <c r="W221" s="4">
        <v>100</v>
      </c>
      <c r="X221" s="5">
        <v>2</v>
      </c>
      <c r="Y221" s="4">
        <v>800</v>
      </c>
      <c r="Z221" s="5">
        <v>48</v>
      </c>
    </row>
    <row r="222" spans="1:26" x14ac:dyDescent="0.25">
      <c r="A222" s="2" t="s">
        <v>143</v>
      </c>
      <c r="B222" s="6" t="s">
        <v>230</v>
      </c>
      <c r="D222" s="6" t="str">
        <f>VLOOKUP(TRIM(A222),wikily_maps!A:O,15,FALSE)</f>
        <v>Astraeos, Crystal Isles, Extinction, Fjordur, Genesis 2, Lost Island, Ragnarok, Scorched Earth, The Center, The Island, Valguero</v>
      </c>
      <c r="E222" s="4">
        <v>250</v>
      </c>
      <c r="F222" s="1">
        <v>50</v>
      </c>
      <c r="G222" s="5">
        <v>5.4</v>
      </c>
      <c r="H222" s="4">
        <v>200</v>
      </c>
      <c r="I222" s="1">
        <v>20</v>
      </c>
      <c r="J222" s="5">
        <v>10</v>
      </c>
      <c r="K222" s="4">
        <v>150</v>
      </c>
      <c r="L222" s="1">
        <v>15</v>
      </c>
      <c r="M222" s="5">
        <v>10</v>
      </c>
      <c r="N222" s="4">
        <v>1200</v>
      </c>
      <c r="O222" s="1">
        <v>120</v>
      </c>
      <c r="P222" s="5">
        <v>10</v>
      </c>
      <c r="Q222" s="4">
        <v>200</v>
      </c>
      <c r="R222" s="1">
        <v>4</v>
      </c>
      <c r="S222" s="5">
        <v>4</v>
      </c>
      <c r="T222" s="4">
        <v>29</v>
      </c>
      <c r="U222" s="1">
        <v>1.45</v>
      </c>
      <c r="V222" s="5">
        <v>1.7</v>
      </c>
      <c r="W222" s="4">
        <v>100</v>
      </c>
      <c r="X222" s="5">
        <v>1</v>
      </c>
      <c r="Y222" s="4">
        <v>500</v>
      </c>
      <c r="Z222" s="5">
        <v>30</v>
      </c>
    </row>
    <row r="223" spans="1:26" x14ac:dyDescent="0.25">
      <c r="A223" s="2" t="s">
        <v>144</v>
      </c>
      <c r="B223" s="6" t="s">
        <v>230</v>
      </c>
      <c r="D223" s="6" t="str">
        <f>VLOOKUP(TRIM(A223),wikily_maps!A:O,15,FALSE)</f>
        <v>Astraeos, Crystal Isles, Extinction, Fjordur, Genesis 2, Genesis, Lost Island, Ragnarok, The Center, The Island, Valguero</v>
      </c>
      <c r="E223" s="4">
        <v>400</v>
      </c>
      <c r="F223" s="1">
        <v>80</v>
      </c>
      <c r="G223" s="5">
        <v>5.4</v>
      </c>
      <c r="H223" s="4">
        <v>450</v>
      </c>
      <c r="I223" s="1">
        <v>45</v>
      </c>
      <c r="J223" s="5">
        <v>10</v>
      </c>
      <c r="K223" s="4">
        <v>0</v>
      </c>
      <c r="L223" s="1">
        <v>0</v>
      </c>
      <c r="M223" s="5">
        <v>0</v>
      </c>
      <c r="N223" s="4">
        <v>1500</v>
      </c>
      <c r="O223" s="1">
        <v>150</v>
      </c>
      <c r="P223" s="5">
        <v>10</v>
      </c>
      <c r="Q223" s="4">
        <v>300</v>
      </c>
      <c r="R223" s="1">
        <v>6</v>
      </c>
      <c r="S223" s="5">
        <v>4</v>
      </c>
      <c r="T223" s="4">
        <v>35</v>
      </c>
      <c r="U223" s="1">
        <v>1.75</v>
      </c>
      <c r="V223" s="5">
        <v>1.7</v>
      </c>
      <c r="W223" s="4">
        <v>100</v>
      </c>
      <c r="X223" s="5">
        <v>1</v>
      </c>
      <c r="Y223" s="4">
        <v>400</v>
      </c>
      <c r="Z223" s="5">
        <v>24</v>
      </c>
    </row>
    <row r="224" spans="1:26" x14ac:dyDescent="0.25">
      <c r="A224" s="2" t="s">
        <v>145</v>
      </c>
      <c r="B224" s="6" t="s">
        <v>230</v>
      </c>
      <c r="D224" s="6" t="str">
        <f>VLOOKUP(TRIM(A224),wikily_maps!A:O,15,FALSE)</f>
        <v>Fjordur, Genesis 2</v>
      </c>
      <c r="E224" s="4">
        <v>825</v>
      </c>
      <c r="F224" s="1">
        <v>165</v>
      </c>
      <c r="G224" s="5">
        <v>5.4</v>
      </c>
      <c r="H224" s="4">
        <v>450</v>
      </c>
      <c r="I224" s="1">
        <v>45</v>
      </c>
      <c r="J224" s="5">
        <v>10</v>
      </c>
      <c r="K224" s="4">
        <v>150</v>
      </c>
      <c r="L224" s="1">
        <v>15</v>
      </c>
      <c r="M224" s="5">
        <v>0</v>
      </c>
      <c r="N224" s="4">
        <v>1500</v>
      </c>
      <c r="O224" s="1">
        <v>150</v>
      </c>
      <c r="P224" s="5">
        <v>10</v>
      </c>
      <c r="Q224" s="4">
        <v>425</v>
      </c>
      <c r="R224" s="1">
        <v>8.5</v>
      </c>
      <c r="S224" s="5">
        <v>4</v>
      </c>
      <c r="T224" s="4">
        <v>35</v>
      </c>
      <c r="U224" s="1">
        <v>1.75</v>
      </c>
      <c r="V224" s="5">
        <v>1.7</v>
      </c>
      <c r="W224" s="4">
        <v>100</v>
      </c>
      <c r="X224" s="5">
        <v>1</v>
      </c>
      <c r="Y224" s="4">
        <v>700</v>
      </c>
      <c r="Z224" s="5">
        <v>42</v>
      </c>
    </row>
    <row r="225" spans="1:26" x14ac:dyDescent="0.25">
      <c r="A225" s="2" t="s">
        <v>146</v>
      </c>
      <c r="B225" s="6" t="s">
        <v>230</v>
      </c>
      <c r="D225" s="6" t="str">
        <f>VLOOKUP(TRIM(A225),wikily_maps!A:O,15,FALSE)</f>
        <v>Astraeos, The Center</v>
      </c>
      <c r="E225" s="4">
        <v>4500</v>
      </c>
      <c r="F225" s="1">
        <v>540</v>
      </c>
      <c r="G225" s="5">
        <v>4.2</v>
      </c>
      <c r="H225" s="4">
        <v>300</v>
      </c>
      <c r="I225" s="1">
        <v>30</v>
      </c>
      <c r="J225" s="5">
        <v>10</v>
      </c>
      <c r="K225" s="4">
        <v>0</v>
      </c>
      <c r="L225" s="1">
        <v>0</v>
      </c>
      <c r="M225" s="5">
        <v>0</v>
      </c>
      <c r="N225" s="4">
        <v>8000</v>
      </c>
      <c r="O225" s="1">
        <v>800</v>
      </c>
      <c r="P225" s="5">
        <v>10</v>
      </c>
      <c r="Q225" s="4">
        <v>3000</v>
      </c>
      <c r="R225" s="1">
        <v>60</v>
      </c>
      <c r="S225" s="5">
        <v>4</v>
      </c>
      <c r="T225" s="4">
        <v>70</v>
      </c>
      <c r="U225" s="1">
        <v>3.5</v>
      </c>
      <c r="V225" s="5">
        <v>1.7</v>
      </c>
      <c r="W225" s="4">
        <v>100</v>
      </c>
      <c r="X225" s="5">
        <v>1</v>
      </c>
      <c r="Y225" s="4">
        <v>3000</v>
      </c>
      <c r="Z225" s="5">
        <v>180</v>
      </c>
    </row>
    <row r="226" spans="1:26" x14ac:dyDescent="0.25">
      <c r="A226" s="2" t="s">
        <v>147</v>
      </c>
      <c r="B226" s="6" t="s">
        <v>230</v>
      </c>
      <c r="D226" s="6" t="str">
        <f>VLOOKUP(TRIM(A226),wikily_maps!A:O,15,FALSE)</f>
        <v>Aberration, Fjordur, Genesis 2, Genesis, Ragnarok, Valguero</v>
      </c>
      <c r="E226" s="4">
        <v>115</v>
      </c>
      <c r="F226" s="1">
        <v>23</v>
      </c>
      <c r="G226" s="5">
        <v>5.4</v>
      </c>
      <c r="H226" s="4">
        <v>180</v>
      </c>
      <c r="I226" s="1">
        <v>19.8</v>
      </c>
      <c r="J226" s="5">
        <v>11</v>
      </c>
      <c r="K226" s="4">
        <v>180</v>
      </c>
      <c r="L226" s="1">
        <v>19.8</v>
      </c>
      <c r="M226" s="5">
        <v>11</v>
      </c>
      <c r="N226" s="4">
        <v>450</v>
      </c>
      <c r="O226" s="1">
        <v>45</v>
      </c>
      <c r="P226" s="5">
        <v>10</v>
      </c>
      <c r="Q226" s="4">
        <v>100</v>
      </c>
      <c r="R226" s="1">
        <v>2</v>
      </c>
      <c r="S226" s="5">
        <v>4</v>
      </c>
      <c r="T226" s="4">
        <v>12</v>
      </c>
      <c r="U226" s="1">
        <v>0.66</v>
      </c>
      <c r="V226" s="12">
        <v>1955</v>
      </c>
      <c r="W226" s="4">
        <v>100</v>
      </c>
      <c r="X226" s="5">
        <v>1</v>
      </c>
      <c r="Y226" s="4">
        <v>60</v>
      </c>
      <c r="Z226" s="5">
        <v>3.6</v>
      </c>
    </row>
    <row r="227" spans="1:26" x14ac:dyDescent="0.25">
      <c r="A227" s="2" t="s">
        <v>148</v>
      </c>
      <c r="B227" s="6" t="s">
        <v>230</v>
      </c>
      <c r="D227" s="6" t="str">
        <f>VLOOKUP(TRIM(A227),wikily_maps!A:O,15,FALSE)</f>
        <v>Lost Island</v>
      </c>
      <c r="E227" s="4">
        <v>110</v>
      </c>
      <c r="F227" s="1">
        <v>22</v>
      </c>
      <c r="G227" s="5">
        <v>5.4</v>
      </c>
      <c r="H227" s="4">
        <v>150</v>
      </c>
      <c r="I227" s="1">
        <v>15</v>
      </c>
      <c r="J227" s="5">
        <v>10</v>
      </c>
      <c r="K227" s="4">
        <v>150</v>
      </c>
      <c r="L227" s="1">
        <v>15</v>
      </c>
      <c r="M227" s="5">
        <v>10</v>
      </c>
      <c r="N227" s="4">
        <v>900</v>
      </c>
      <c r="O227" s="1">
        <v>90</v>
      </c>
      <c r="P227" s="5">
        <v>10</v>
      </c>
      <c r="Q227" s="4">
        <v>80</v>
      </c>
      <c r="R227" s="1">
        <v>1.6</v>
      </c>
      <c r="S227" s="5">
        <v>4</v>
      </c>
      <c r="T227" s="4">
        <v>10</v>
      </c>
      <c r="U227" s="1">
        <v>0.5</v>
      </c>
      <c r="V227" s="5">
        <v>1.7</v>
      </c>
      <c r="W227" s="4">
        <v>100</v>
      </c>
      <c r="X227" s="5">
        <v>0</v>
      </c>
      <c r="Y227" s="4">
        <v>100</v>
      </c>
      <c r="Z227" s="5">
        <v>6</v>
      </c>
    </row>
    <row r="228" spans="1:26" x14ac:dyDescent="0.25">
      <c r="A228" s="2" t="s">
        <v>149</v>
      </c>
      <c r="B228" s="6" t="s">
        <v>230</v>
      </c>
      <c r="D228" s="6" t="str">
        <f>VLOOKUP(TRIM(A228),wikily_maps!A:O,15,FALSE)</f>
        <v>Astraeos, Extinction, Fjordur, Lost Island</v>
      </c>
      <c r="E228" s="4">
        <v>325</v>
      </c>
      <c r="F228" s="1">
        <v>65</v>
      </c>
      <c r="G228" s="5">
        <v>5.4</v>
      </c>
      <c r="H228" s="4">
        <v>350</v>
      </c>
      <c r="I228" s="1">
        <v>35</v>
      </c>
      <c r="J228" s="5">
        <v>10</v>
      </c>
      <c r="K228" s="4">
        <v>150</v>
      </c>
      <c r="L228" s="1">
        <v>15</v>
      </c>
      <c r="M228" s="5">
        <v>10</v>
      </c>
      <c r="N228" s="4">
        <v>2000</v>
      </c>
      <c r="O228" s="1">
        <v>200</v>
      </c>
      <c r="P228" s="5">
        <v>10</v>
      </c>
      <c r="Q228" s="4">
        <v>375</v>
      </c>
      <c r="R228" s="1">
        <v>7.5</v>
      </c>
      <c r="S228" s="5">
        <v>4</v>
      </c>
      <c r="T228" s="4">
        <v>25</v>
      </c>
      <c r="U228" s="1">
        <v>1.25</v>
      </c>
      <c r="V228" s="5">
        <v>1.7</v>
      </c>
      <c r="W228" s="4">
        <v>100</v>
      </c>
      <c r="X228" s="5">
        <v>0</v>
      </c>
      <c r="Y228" s="4">
        <v>600</v>
      </c>
      <c r="Z228" s="5">
        <v>36</v>
      </c>
    </row>
    <row r="229" spans="1:26" x14ac:dyDescent="0.25">
      <c r="A229" s="2" t="s">
        <v>150</v>
      </c>
      <c r="B229" s="6" t="s">
        <v>230</v>
      </c>
      <c r="D229" s="6" t="str">
        <f>VLOOKUP(TRIM(A229),wikily_maps!A:O,15,FALSE)</f>
        <v>Astraeos, Crystal Isles, Extinction, Fjordur, Genesis 2, Lost Island, Ragnarok, The Center, The Island, Valguero</v>
      </c>
      <c r="E229" s="4">
        <v>805</v>
      </c>
      <c r="F229" s="1">
        <v>161</v>
      </c>
      <c r="G229" s="5">
        <v>5.4</v>
      </c>
      <c r="H229" s="4">
        <v>350</v>
      </c>
      <c r="I229" s="1">
        <v>35</v>
      </c>
      <c r="J229" s="5">
        <v>10</v>
      </c>
      <c r="K229" s="4">
        <v>650</v>
      </c>
      <c r="L229" s="1">
        <v>65</v>
      </c>
      <c r="M229" s="5">
        <v>10</v>
      </c>
      <c r="N229" s="4">
        <v>2600</v>
      </c>
      <c r="O229" s="1">
        <v>260</v>
      </c>
      <c r="P229" s="5">
        <v>10</v>
      </c>
      <c r="Q229" s="4">
        <v>350</v>
      </c>
      <c r="R229" s="1">
        <v>7</v>
      </c>
      <c r="S229" s="5">
        <v>4</v>
      </c>
      <c r="T229" s="4">
        <v>40</v>
      </c>
      <c r="U229" s="1">
        <v>2</v>
      </c>
      <c r="V229" s="5">
        <v>1.7</v>
      </c>
      <c r="W229" s="4">
        <v>100</v>
      </c>
      <c r="X229" s="5">
        <v>1</v>
      </c>
      <c r="Y229" s="4">
        <v>850</v>
      </c>
      <c r="Z229" s="5">
        <v>51</v>
      </c>
    </row>
    <row r="230" spans="1:26" x14ac:dyDescent="0.25">
      <c r="A230" s="2" t="s">
        <v>151</v>
      </c>
      <c r="B230" s="6" t="s">
        <v>230</v>
      </c>
      <c r="D230" s="6" t="str">
        <f>VLOOKUP(TRIM(A230),wikily_maps!A:O,15,FALSE)</f>
        <v>Astraeos, Crystal Isles, Extinction, Fjordur, Genesis 2, Genesis, Lost Island, Ragnarok, The Center, The Island, Valguero</v>
      </c>
      <c r="E230" s="4">
        <v>650</v>
      </c>
      <c r="F230" s="1">
        <v>130</v>
      </c>
      <c r="G230" s="5">
        <v>5.4</v>
      </c>
      <c r="H230" s="4">
        <v>300</v>
      </c>
      <c r="I230" s="1">
        <v>30</v>
      </c>
      <c r="J230" s="5">
        <v>10</v>
      </c>
      <c r="K230" s="4">
        <v>150</v>
      </c>
      <c r="L230" s="1">
        <v>15</v>
      </c>
      <c r="M230" s="5">
        <v>10</v>
      </c>
      <c r="N230" s="4">
        <v>6000</v>
      </c>
      <c r="O230" s="1">
        <v>600</v>
      </c>
      <c r="P230" s="5">
        <v>10</v>
      </c>
      <c r="Q230" s="4">
        <v>500</v>
      </c>
      <c r="R230" s="1">
        <v>10</v>
      </c>
      <c r="S230" s="5">
        <v>4</v>
      </c>
      <c r="T230" s="4">
        <v>42</v>
      </c>
      <c r="U230" s="1">
        <v>2.1</v>
      </c>
      <c r="V230" s="5">
        <v>1.7</v>
      </c>
      <c r="W230" s="4">
        <v>100</v>
      </c>
      <c r="X230" s="5">
        <v>2</v>
      </c>
      <c r="Y230" s="4">
        <v>500</v>
      </c>
      <c r="Z230" s="5">
        <v>30</v>
      </c>
    </row>
    <row r="231" spans="1:26" x14ac:dyDescent="0.25">
      <c r="A231" s="2" t="s">
        <v>229</v>
      </c>
      <c r="B231" s="6" t="s">
        <v>175</v>
      </c>
      <c r="C231" s="6" t="s">
        <v>207</v>
      </c>
      <c r="D231" s="6" t="s">
        <v>183</v>
      </c>
      <c r="E231" s="4">
        <v>300000</v>
      </c>
      <c r="F231" s="5">
        <v>0</v>
      </c>
      <c r="G231" s="5">
        <v>0</v>
      </c>
      <c r="H231" s="4">
        <v>750</v>
      </c>
      <c r="I231" s="5">
        <v>0</v>
      </c>
      <c r="J231" s="5">
        <v>0</v>
      </c>
      <c r="K231" s="4">
        <v>300</v>
      </c>
      <c r="L231" s="5">
        <v>0</v>
      </c>
      <c r="M231" s="5">
        <v>0</v>
      </c>
      <c r="N231" s="4">
        <v>6000</v>
      </c>
      <c r="O231" s="5">
        <v>0</v>
      </c>
      <c r="P231" s="5">
        <v>0</v>
      </c>
      <c r="Q231" s="4">
        <v>800</v>
      </c>
      <c r="R231" s="5">
        <v>0</v>
      </c>
      <c r="S231" s="5">
        <v>0</v>
      </c>
      <c r="T231" s="4">
        <v>375</v>
      </c>
      <c r="U231" s="5">
        <v>0</v>
      </c>
      <c r="V231" s="5">
        <v>0</v>
      </c>
      <c r="W231" s="4">
        <v>100</v>
      </c>
      <c r="X231" s="5">
        <v>0</v>
      </c>
      <c r="Y231" s="4">
        <v>3000</v>
      </c>
      <c r="Z231" s="5">
        <v>0</v>
      </c>
    </row>
    <row r="232" spans="1:26" x14ac:dyDescent="0.25">
      <c r="A232" s="2" t="s">
        <v>152</v>
      </c>
      <c r="B232" s="6" t="s">
        <v>230</v>
      </c>
      <c r="D232" s="6" t="str">
        <f>VLOOKUP(TRIM(A232),wikily_maps!A:O,15,FALSE)</f>
        <v>Astraeos, Crystal Isles, Extinction, Fjordur, Genesis 2, Lost Island, Ragnarok, Scorched Earth, The Center, The Island, Valguero</v>
      </c>
      <c r="E232" s="4">
        <v>325</v>
      </c>
      <c r="F232" s="1">
        <v>55.25</v>
      </c>
      <c r="G232" s="5">
        <v>5.4</v>
      </c>
      <c r="H232" s="4">
        <v>250</v>
      </c>
      <c r="I232" s="1">
        <v>12.5</v>
      </c>
      <c r="J232" s="5">
        <v>6</v>
      </c>
      <c r="K232" s="4">
        <v>150</v>
      </c>
      <c r="L232" s="1">
        <v>15</v>
      </c>
      <c r="M232" s="5">
        <v>10</v>
      </c>
      <c r="N232" s="4">
        <v>1600</v>
      </c>
      <c r="O232" s="1">
        <v>160</v>
      </c>
      <c r="P232" s="5">
        <v>10</v>
      </c>
      <c r="Q232" s="4">
        <v>280</v>
      </c>
      <c r="R232" s="1">
        <v>5.6</v>
      </c>
      <c r="S232" s="5">
        <v>4</v>
      </c>
      <c r="T232" s="4">
        <v>18</v>
      </c>
      <c r="U232" s="1">
        <v>0.9</v>
      </c>
      <c r="V232" s="5">
        <v>1.7</v>
      </c>
      <c r="W232" s="4">
        <v>100</v>
      </c>
      <c r="X232" s="5">
        <v>1</v>
      </c>
      <c r="Y232" s="4">
        <v>450</v>
      </c>
      <c r="Z232" s="5">
        <v>27</v>
      </c>
    </row>
    <row r="233" spans="1:26" x14ac:dyDescent="0.25">
      <c r="A233" s="2" t="s">
        <v>153</v>
      </c>
      <c r="B233" s="6" t="s">
        <v>230</v>
      </c>
      <c r="D233" s="6" t="str">
        <f>VLOOKUP(TRIM(A233),wikily_maps!A:O,15,FALSE)</f>
        <v>Genesis 2</v>
      </c>
      <c r="E233" s="4">
        <v>4000</v>
      </c>
      <c r="F233" s="1">
        <v>800</v>
      </c>
      <c r="G233" s="5">
        <v>5.4</v>
      </c>
      <c r="H233" s="4">
        <v>600</v>
      </c>
      <c r="I233" s="1">
        <v>60</v>
      </c>
      <c r="J233" s="5">
        <v>10</v>
      </c>
      <c r="K233" s="4">
        <v>150</v>
      </c>
      <c r="L233" s="1">
        <v>15</v>
      </c>
      <c r="M233" s="5">
        <v>10</v>
      </c>
      <c r="N233" s="4" t="s">
        <v>1</v>
      </c>
      <c r="O233" s="1">
        <v>0</v>
      </c>
      <c r="P233" s="5">
        <v>0</v>
      </c>
      <c r="Q233" s="4">
        <v>1250</v>
      </c>
      <c r="R233" s="1">
        <v>25</v>
      </c>
      <c r="S233" s="5">
        <v>4</v>
      </c>
      <c r="T233" s="4">
        <v>68</v>
      </c>
      <c r="U233" s="1">
        <v>3.4</v>
      </c>
      <c r="V233" s="5">
        <v>1.7</v>
      </c>
      <c r="W233" s="4">
        <v>100</v>
      </c>
      <c r="X233" s="5">
        <v>1</v>
      </c>
      <c r="Y233" s="4">
        <v>2000</v>
      </c>
      <c r="Z233" s="5">
        <v>120</v>
      </c>
    </row>
    <row r="234" spans="1:26" x14ac:dyDescent="0.25">
      <c r="A234" s="2" t="s">
        <v>154</v>
      </c>
      <c r="B234" s="6" t="s">
        <v>230</v>
      </c>
      <c r="D234" s="6" t="str">
        <f>VLOOKUP(TRIM(A234),wikily_maps!A:O,15,FALSE)</f>
        <v>Astraeos, Crystal Isles, Extinction, Fjordur, Genesis 2, Genesis, Lost Island, Ragnarok, Scorched Earth, The Center, The Island, Valguero</v>
      </c>
      <c r="E234" s="4">
        <v>270</v>
      </c>
      <c r="F234" s="1">
        <v>54</v>
      </c>
      <c r="G234" s="5">
        <v>5.4</v>
      </c>
      <c r="H234" s="4">
        <v>160</v>
      </c>
      <c r="I234" s="1">
        <v>16</v>
      </c>
      <c r="J234" s="5">
        <v>10</v>
      </c>
      <c r="K234" s="4">
        <v>150</v>
      </c>
      <c r="L234" s="1">
        <v>15</v>
      </c>
      <c r="M234" s="5">
        <v>10</v>
      </c>
      <c r="N234" s="4">
        <v>1500</v>
      </c>
      <c r="O234" s="1">
        <v>150</v>
      </c>
      <c r="P234" s="5">
        <v>10</v>
      </c>
      <c r="Q234" s="4">
        <v>120</v>
      </c>
      <c r="R234" s="1">
        <v>2.4</v>
      </c>
      <c r="S234" s="5">
        <v>4</v>
      </c>
      <c r="T234" s="4">
        <v>18</v>
      </c>
      <c r="U234" s="1">
        <v>0.9</v>
      </c>
      <c r="V234" s="5">
        <v>1.7</v>
      </c>
      <c r="W234" s="4">
        <v>100</v>
      </c>
      <c r="X234" s="5">
        <v>1</v>
      </c>
      <c r="Y234" s="4">
        <v>300</v>
      </c>
      <c r="Z234" s="5">
        <v>18</v>
      </c>
    </row>
    <row r="235" spans="1:26" x14ac:dyDescent="0.25">
      <c r="A235" s="2" t="s">
        <v>155</v>
      </c>
      <c r="B235" s="6" t="s">
        <v>230</v>
      </c>
      <c r="D235" s="6" t="str">
        <f>VLOOKUP(TRIM(A235),wikily_maps!A:O,15,FALSE)</f>
        <v>Astraeos, Crystal Isles, Extinction, Fjordur, Genesis 2, Genesis, Lost Island, Ragnarok, The Center, The Island, Valguero</v>
      </c>
      <c r="E235" s="4">
        <v>870</v>
      </c>
      <c r="F235" s="1">
        <v>174</v>
      </c>
      <c r="G235" s="5">
        <v>5.4</v>
      </c>
      <c r="H235" s="4">
        <v>300</v>
      </c>
      <c r="I235" s="1">
        <v>30</v>
      </c>
      <c r="J235" s="5">
        <v>10</v>
      </c>
      <c r="K235" s="4">
        <v>150</v>
      </c>
      <c r="L235" s="1">
        <v>15</v>
      </c>
      <c r="M235" s="5">
        <v>10</v>
      </c>
      <c r="N235" s="4">
        <v>3000</v>
      </c>
      <c r="O235" s="1">
        <v>300</v>
      </c>
      <c r="P235" s="5">
        <v>10</v>
      </c>
      <c r="Q235" s="4">
        <v>365</v>
      </c>
      <c r="R235" s="1">
        <v>7.3</v>
      </c>
      <c r="S235" s="5">
        <v>4</v>
      </c>
      <c r="T235" s="4">
        <v>52</v>
      </c>
      <c r="U235" s="1">
        <v>2.6</v>
      </c>
      <c r="V235" s="5">
        <v>1.7</v>
      </c>
      <c r="W235" s="4">
        <v>100</v>
      </c>
      <c r="X235" s="5">
        <v>1</v>
      </c>
      <c r="Y235" s="4">
        <v>925</v>
      </c>
      <c r="Z235" s="5">
        <v>55.5</v>
      </c>
    </row>
    <row r="236" spans="1:26" x14ac:dyDescent="0.25">
      <c r="A236" s="2" t="s">
        <v>156</v>
      </c>
      <c r="B236" s="6" t="s">
        <v>230</v>
      </c>
      <c r="D236" s="6" t="str">
        <f>VLOOKUP(TRIM(A236),wikily_maps!A:O,15,FALSE)</f>
        <v>Astraeos, Crystal Isles, Extinction, Fjordur, Genesis 2, Genesis, Lost Island, Scorched Earth</v>
      </c>
      <c r="E236" s="4">
        <v>260</v>
      </c>
      <c r="F236" s="1">
        <v>52</v>
      </c>
      <c r="G236" s="5">
        <v>5.4</v>
      </c>
      <c r="H236" s="4">
        <v>350</v>
      </c>
      <c r="I236" s="1">
        <v>35</v>
      </c>
      <c r="J236" s="5">
        <v>10</v>
      </c>
      <c r="K236" s="4">
        <v>150</v>
      </c>
      <c r="L236" s="1">
        <v>15</v>
      </c>
      <c r="M236" s="5">
        <v>10</v>
      </c>
      <c r="N236" s="4">
        <v>1200</v>
      </c>
      <c r="O236" s="1">
        <v>120</v>
      </c>
      <c r="P236" s="5">
        <v>10</v>
      </c>
      <c r="Q236" s="4">
        <v>300</v>
      </c>
      <c r="R236" s="1">
        <v>6</v>
      </c>
      <c r="S236" s="5">
        <v>4</v>
      </c>
      <c r="T236" s="4">
        <v>40</v>
      </c>
      <c r="U236" s="1">
        <v>2</v>
      </c>
      <c r="V236" s="5">
        <v>1.7</v>
      </c>
      <c r="W236" s="4">
        <v>100</v>
      </c>
      <c r="X236" s="5">
        <v>1</v>
      </c>
      <c r="Y236" s="4">
        <v>450</v>
      </c>
      <c r="Z236" s="5">
        <v>27</v>
      </c>
    </row>
    <row r="237" spans="1:26" x14ac:dyDescent="0.25">
      <c r="A237" s="2" t="s">
        <v>157</v>
      </c>
      <c r="B237" s="6" t="s">
        <v>230</v>
      </c>
      <c r="D237" s="6" t="str">
        <f>VLOOKUP(TRIM(A237),wikily_maps!A:O,15,FALSE)</f>
        <v>Astraeos, Crystal Isles, Extinction, Fjordur, Genesis, Lost Island, Ragnarok, Scorched Earth, The Center, The Island, Valguero</v>
      </c>
      <c r="E237" s="4">
        <v>700</v>
      </c>
      <c r="F237" s="1">
        <v>140</v>
      </c>
      <c r="G237" s="5">
        <v>3.78</v>
      </c>
      <c r="H237" s="4">
        <v>400</v>
      </c>
      <c r="I237" s="1">
        <v>40</v>
      </c>
      <c r="J237" s="5">
        <v>10</v>
      </c>
      <c r="K237" s="4">
        <v>200</v>
      </c>
      <c r="L237" s="1">
        <v>20</v>
      </c>
      <c r="M237" s="5">
        <v>10</v>
      </c>
      <c r="N237" s="4">
        <v>1500</v>
      </c>
      <c r="O237" s="1">
        <v>150</v>
      </c>
      <c r="P237" s="5">
        <v>10</v>
      </c>
      <c r="Q237" s="4">
        <v>400</v>
      </c>
      <c r="R237" s="1">
        <v>8</v>
      </c>
      <c r="S237" s="5">
        <v>4</v>
      </c>
      <c r="T237" s="4">
        <v>40</v>
      </c>
      <c r="U237" s="1">
        <v>2</v>
      </c>
      <c r="V237" s="5">
        <v>1.7</v>
      </c>
      <c r="W237" s="4">
        <v>100</v>
      </c>
      <c r="X237" s="5">
        <v>1</v>
      </c>
      <c r="Y237" s="4">
        <v>700</v>
      </c>
      <c r="Z237" s="5">
        <v>42</v>
      </c>
    </row>
    <row r="238" spans="1:26" x14ac:dyDescent="0.25">
      <c r="A238" s="2" t="s">
        <v>158</v>
      </c>
      <c r="B238" s="6" t="s">
        <v>230</v>
      </c>
      <c r="D238" s="6" t="str">
        <f>VLOOKUP(TRIM(A238),wikily_maps!A:O,15,FALSE)</f>
        <v>Astraeos, Crystal Isles, Extinction, Fjordur, Genesis 2, Genesis, Lost Island, Ragnarok, Scorched Earth, The Center, The Island, Valguero</v>
      </c>
      <c r="E238" s="4">
        <v>170</v>
      </c>
      <c r="F238" s="1">
        <v>34</v>
      </c>
      <c r="G238" s="5">
        <v>5.4</v>
      </c>
      <c r="H238" s="4">
        <v>150</v>
      </c>
      <c r="I238" s="1">
        <v>15</v>
      </c>
      <c r="J238" s="5">
        <v>10</v>
      </c>
      <c r="K238" s="4">
        <v>0</v>
      </c>
      <c r="L238" s="1">
        <v>0</v>
      </c>
      <c r="M238" s="5">
        <v>0</v>
      </c>
      <c r="N238" s="4">
        <v>1200</v>
      </c>
      <c r="O238" s="1">
        <v>120</v>
      </c>
      <c r="P238" s="5">
        <v>10</v>
      </c>
      <c r="Q238" s="4">
        <v>150</v>
      </c>
      <c r="R238" s="1">
        <v>3</v>
      </c>
      <c r="S238" s="5">
        <v>4</v>
      </c>
      <c r="T238" s="4">
        <v>30</v>
      </c>
      <c r="U238" s="1">
        <v>1.5</v>
      </c>
      <c r="V238" s="5">
        <v>1.7</v>
      </c>
      <c r="W238" s="4">
        <v>100</v>
      </c>
      <c r="X238" s="5">
        <v>1</v>
      </c>
      <c r="Y238" s="4">
        <v>175</v>
      </c>
      <c r="Z238" s="5">
        <v>10.5</v>
      </c>
    </row>
    <row r="239" spans="1:26" x14ac:dyDescent="0.25">
      <c r="A239" s="2" t="s">
        <v>159</v>
      </c>
      <c r="B239" s="6" t="s">
        <v>230</v>
      </c>
      <c r="D239" s="6" t="str">
        <f>VLOOKUP(TRIM(A239),wikily_maps!A:O,15,FALSE)</f>
        <v>Crystal Isles, Fjordur, Ragnarok, Scorched Earth, The Center, The Island</v>
      </c>
      <c r="E239" s="4">
        <v>230000</v>
      </c>
      <c r="F239" s="1">
        <v>2000</v>
      </c>
      <c r="G239" s="5">
        <v>5.4</v>
      </c>
      <c r="H239" s="4">
        <v>2000</v>
      </c>
      <c r="I239" s="1">
        <v>0</v>
      </c>
      <c r="J239" s="5">
        <v>0</v>
      </c>
      <c r="K239" s="4">
        <v>600</v>
      </c>
      <c r="L239" s="1">
        <v>0</v>
      </c>
      <c r="M239" s="5">
        <v>0</v>
      </c>
      <c r="N239" s="4">
        <v>8640</v>
      </c>
      <c r="O239" s="1">
        <v>864</v>
      </c>
      <c r="P239" s="5">
        <v>10</v>
      </c>
      <c r="Q239" s="4">
        <v>50000</v>
      </c>
      <c r="R239" s="1">
        <v>3</v>
      </c>
      <c r="S239" s="5">
        <v>4</v>
      </c>
      <c r="T239" s="4">
        <v>1000</v>
      </c>
      <c r="U239" s="1">
        <v>2</v>
      </c>
      <c r="V239" s="5">
        <v>1.7</v>
      </c>
      <c r="W239" s="4">
        <v>100</v>
      </c>
      <c r="X239" s="5">
        <v>0</v>
      </c>
      <c r="Y239" s="4">
        <v>25000</v>
      </c>
      <c r="Z239" s="5">
        <v>1500</v>
      </c>
    </row>
    <row r="240" spans="1:26" x14ac:dyDescent="0.25">
      <c r="A240" s="2" t="s">
        <v>160</v>
      </c>
      <c r="B240" s="6" t="s">
        <v>230</v>
      </c>
      <c r="D240" s="6" t="str">
        <f>VLOOKUP(TRIM(A240),wikily_maps!A:O,15,FALSE)</f>
        <v>Astraeos, Crystal Isles, Extinction, Fjordur, Genesis 2, Lost Island, Ragnarok, The Center, The Island, Valguero</v>
      </c>
      <c r="E240" s="4">
        <v>375</v>
      </c>
      <c r="F240" s="1">
        <v>75</v>
      </c>
      <c r="G240" s="5">
        <v>5.4</v>
      </c>
      <c r="H240" s="4">
        <v>150</v>
      </c>
      <c r="I240" s="1">
        <v>15</v>
      </c>
      <c r="J240" s="5">
        <v>10</v>
      </c>
      <c r="K240" s="4">
        <v>150</v>
      </c>
      <c r="L240" s="1">
        <v>15</v>
      </c>
      <c r="M240" s="5">
        <v>10</v>
      </c>
      <c r="N240" s="4">
        <v>3000</v>
      </c>
      <c r="O240" s="1">
        <v>300</v>
      </c>
      <c r="P240" s="5">
        <v>10</v>
      </c>
      <c r="Q240" s="4">
        <v>365</v>
      </c>
      <c r="R240" s="1">
        <v>7.3</v>
      </c>
      <c r="S240" s="5">
        <v>4</v>
      </c>
      <c r="T240" s="4">
        <v>32</v>
      </c>
      <c r="U240" s="1">
        <v>1.6</v>
      </c>
      <c r="V240" s="5">
        <v>1.7</v>
      </c>
      <c r="W240" s="4">
        <v>100</v>
      </c>
      <c r="X240" s="5">
        <v>1.5</v>
      </c>
      <c r="Y240" s="4">
        <v>250</v>
      </c>
      <c r="Z240" s="5">
        <v>15</v>
      </c>
    </row>
    <row r="241" spans="1:26" x14ac:dyDescent="0.25">
      <c r="A241" s="2" t="s">
        <v>161</v>
      </c>
      <c r="B241" s="6" t="s">
        <v>230</v>
      </c>
      <c r="D241" s="6" t="str">
        <f>VLOOKUP(TRIM(A241),wikily_maps!A:O,15,FALSE)</f>
        <v>Astraeos, Crystal Isles, Extinction, Fjordur, Genesis 2, Genesis, Lost Island, Ragnarok, The Center, The Island, Valguero</v>
      </c>
      <c r="E241" s="4">
        <v>160</v>
      </c>
      <c r="F241" s="1">
        <v>32</v>
      </c>
      <c r="G241" s="5">
        <v>5.4</v>
      </c>
      <c r="H241" s="4">
        <v>100</v>
      </c>
      <c r="I241" s="1">
        <v>10</v>
      </c>
      <c r="J241" s="5">
        <v>10</v>
      </c>
      <c r="K241" s="4">
        <v>0</v>
      </c>
      <c r="L241" s="1">
        <v>0</v>
      </c>
      <c r="M241" s="5">
        <v>0</v>
      </c>
      <c r="N241" s="4">
        <v>450</v>
      </c>
      <c r="O241" s="1">
        <v>45</v>
      </c>
      <c r="P241" s="5">
        <v>10</v>
      </c>
      <c r="Q241" s="4">
        <v>150</v>
      </c>
      <c r="R241" s="1">
        <v>3</v>
      </c>
      <c r="S241" s="5">
        <v>4</v>
      </c>
      <c r="T241" s="4">
        <v>10</v>
      </c>
      <c r="U241" s="1">
        <v>0.5</v>
      </c>
      <c r="V241" s="5">
        <v>1.7</v>
      </c>
      <c r="W241" s="4">
        <v>100</v>
      </c>
      <c r="X241" s="5">
        <v>0</v>
      </c>
      <c r="Y241" s="4">
        <v>50</v>
      </c>
      <c r="Z241" s="5">
        <v>3</v>
      </c>
    </row>
    <row r="242" spans="1:26" x14ac:dyDescent="0.25">
      <c r="A242" s="2" t="s">
        <v>162</v>
      </c>
      <c r="B242" s="6" t="s">
        <v>230</v>
      </c>
      <c r="D242" s="6" t="str">
        <f>VLOOKUP(TRIM(A242),wikily_maps!A:O,15,FALSE)</f>
        <v>Astraeos, Crystal Isles, Extinction, Fjordur, Genesis 2, Lost Island, Ragnarok, Scorched Earth, The Center, The Island, Valguero</v>
      </c>
      <c r="E242" s="4">
        <v>200</v>
      </c>
      <c r="F242" s="1">
        <v>40</v>
      </c>
      <c r="G242" s="5">
        <v>5.4</v>
      </c>
      <c r="H242" s="4">
        <v>150</v>
      </c>
      <c r="I242" s="1">
        <v>15</v>
      </c>
      <c r="J242" s="5">
        <v>10</v>
      </c>
      <c r="K242" s="4">
        <v>150</v>
      </c>
      <c r="L242" s="1">
        <v>15</v>
      </c>
      <c r="M242" s="5">
        <v>10</v>
      </c>
      <c r="N242" s="4">
        <v>200</v>
      </c>
      <c r="O242" s="1">
        <v>20</v>
      </c>
      <c r="P242" s="5">
        <v>10</v>
      </c>
      <c r="Q242" s="4">
        <v>140</v>
      </c>
      <c r="R242" s="1">
        <v>2.8</v>
      </c>
      <c r="S242" s="5">
        <v>4</v>
      </c>
      <c r="T242" s="4">
        <v>7</v>
      </c>
      <c r="U242" s="1">
        <v>0.35</v>
      </c>
      <c r="V242" s="5">
        <v>1.7</v>
      </c>
      <c r="W242" s="4">
        <v>100</v>
      </c>
      <c r="X242" s="5">
        <v>1</v>
      </c>
      <c r="Y242" s="4">
        <v>180</v>
      </c>
      <c r="Z242" s="5">
        <v>10.8</v>
      </c>
    </row>
    <row r="243" spans="1:26" x14ac:dyDescent="0.25">
      <c r="A243" s="2" t="s">
        <v>163</v>
      </c>
      <c r="B243" s="6" t="s">
        <v>230</v>
      </c>
      <c r="D243" s="6" t="str">
        <f>VLOOKUP(TRIM(A243),wikily_maps!A:O,15,FALSE)</f>
        <v>Crystal Isles, Fjordur</v>
      </c>
      <c r="E243" s="4">
        <v>360</v>
      </c>
      <c r="F243" s="1">
        <v>72</v>
      </c>
      <c r="G243" s="5">
        <v>4.8600000000000003</v>
      </c>
      <c r="H243" s="4">
        <v>250</v>
      </c>
      <c r="I243" s="1">
        <v>12.5</v>
      </c>
      <c r="J243" s="5">
        <v>5</v>
      </c>
      <c r="K243" s="4">
        <v>150</v>
      </c>
      <c r="L243" s="1">
        <v>15</v>
      </c>
      <c r="M243" s="5">
        <v>10</v>
      </c>
      <c r="N243" s="4">
        <v>1600</v>
      </c>
      <c r="O243" s="1">
        <v>160</v>
      </c>
      <c r="P243" s="5">
        <v>10</v>
      </c>
      <c r="Q243" s="4">
        <v>340</v>
      </c>
      <c r="R243" s="1">
        <v>6.8</v>
      </c>
      <c r="S243" s="5">
        <v>4</v>
      </c>
      <c r="T243" s="4">
        <v>18</v>
      </c>
      <c r="U243" s="1">
        <v>0.9</v>
      </c>
      <c r="V243" s="5">
        <v>1.7</v>
      </c>
      <c r="W243" s="4">
        <v>100</v>
      </c>
      <c r="X243" s="5">
        <v>0</v>
      </c>
      <c r="Y243" s="4">
        <v>450</v>
      </c>
      <c r="Z243" s="5">
        <v>27</v>
      </c>
    </row>
    <row r="244" spans="1:26" x14ac:dyDescent="0.25">
      <c r="A244" s="2" t="s">
        <v>164</v>
      </c>
      <c r="B244" s="6" t="s">
        <v>230</v>
      </c>
      <c r="D244" s="6" t="str">
        <f>VLOOKUP(TRIM(A244),wikily_maps!A:O,15,FALSE)</f>
        <v>Astraeos, Crystal Isles, Fjordur, Genesis 2, Genesis, Lost Island, Ragnarok, The Center, The Island, Valguero</v>
      </c>
      <c r="E244" s="4">
        <v>2700</v>
      </c>
      <c r="F244" s="1">
        <v>540</v>
      </c>
      <c r="G244" s="5">
        <v>4.05</v>
      </c>
      <c r="H244" s="4">
        <v>300</v>
      </c>
      <c r="I244" s="1">
        <v>30</v>
      </c>
      <c r="J244" s="5">
        <v>10</v>
      </c>
      <c r="K244" s="4">
        <v>215</v>
      </c>
      <c r="L244" s="1">
        <v>21.5</v>
      </c>
      <c r="M244" s="5">
        <v>0</v>
      </c>
      <c r="N244" s="4">
        <v>3200</v>
      </c>
      <c r="O244" s="1">
        <v>320</v>
      </c>
      <c r="P244" s="5">
        <v>10</v>
      </c>
      <c r="Q244" s="4">
        <v>800</v>
      </c>
      <c r="R244" s="1">
        <v>16</v>
      </c>
      <c r="S244" s="5">
        <v>4</v>
      </c>
      <c r="T244" s="4">
        <v>65</v>
      </c>
      <c r="U244" s="1">
        <v>3.25</v>
      </c>
      <c r="V244" s="5">
        <v>1.7</v>
      </c>
      <c r="W244" s="4">
        <v>100</v>
      </c>
      <c r="X244" s="5">
        <v>1</v>
      </c>
      <c r="Y244" s="4">
        <v>1800</v>
      </c>
      <c r="Z244" s="5">
        <v>108</v>
      </c>
    </row>
    <row r="245" spans="1:26" x14ac:dyDescent="0.25">
      <c r="A245" s="2" t="s">
        <v>165</v>
      </c>
      <c r="B245" s="6" t="s">
        <v>230</v>
      </c>
      <c r="D245" s="6" t="str">
        <f>VLOOKUP(TRIM(A245),wikily_maps!A:O,15,FALSE)</f>
        <v>Ragnarok</v>
      </c>
      <c r="E245" s="4">
        <v>200</v>
      </c>
      <c r="F245" s="1">
        <v>40</v>
      </c>
      <c r="G245" s="5">
        <v>5.4</v>
      </c>
      <c r="H245" s="4">
        <v>260</v>
      </c>
      <c r="I245" s="1">
        <v>26</v>
      </c>
      <c r="J245" s="5">
        <v>10</v>
      </c>
      <c r="K245" s="4">
        <v>150</v>
      </c>
      <c r="L245" s="1">
        <v>15</v>
      </c>
      <c r="M245" s="5">
        <v>10</v>
      </c>
      <c r="N245" s="4">
        <v>1200</v>
      </c>
      <c r="O245" s="1">
        <v>120</v>
      </c>
      <c r="P245" s="5">
        <v>10</v>
      </c>
      <c r="Q245" s="4">
        <v>200</v>
      </c>
      <c r="R245" s="1">
        <v>4</v>
      </c>
      <c r="S245" s="5">
        <v>4</v>
      </c>
      <c r="T245" s="4">
        <v>11</v>
      </c>
      <c r="U245" s="1">
        <v>0.55000000000000004</v>
      </c>
      <c r="V245" s="5">
        <v>1.7</v>
      </c>
      <c r="W245" s="4">
        <v>100</v>
      </c>
      <c r="X245" s="5">
        <v>2.5</v>
      </c>
      <c r="Y245" s="4">
        <v>450</v>
      </c>
      <c r="Z245" s="5">
        <v>27</v>
      </c>
    </row>
    <row r="246" spans="1:26" x14ac:dyDescent="0.25">
      <c r="A246" s="2" t="s">
        <v>166</v>
      </c>
      <c r="B246" s="6" t="s">
        <v>230</v>
      </c>
      <c r="D246" s="6" t="str">
        <f>VLOOKUP(TRIM(A246),wikily_maps!A:O,15,FALSE)</f>
        <v>Astraeos, Extinction, Fjordur</v>
      </c>
      <c r="E246" s="4">
        <v>440</v>
      </c>
      <c r="F246" s="1">
        <v>88</v>
      </c>
      <c r="G246" s="5">
        <v>5.4</v>
      </c>
      <c r="H246" s="4">
        <v>325</v>
      </c>
      <c r="I246" s="1">
        <v>32.5</v>
      </c>
      <c r="J246" s="5">
        <v>10</v>
      </c>
      <c r="K246" s="4">
        <v>225</v>
      </c>
      <c r="L246" s="1">
        <v>22.5</v>
      </c>
      <c r="M246" s="5">
        <v>10</v>
      </c>
      <c r="N246" s="4">
        <v>2250</v>
      </c>
      <c r="O246" s="1">
        <v>225</v>
      </c>
      <c r="P246" s="5">
        <v>10</v>
      </c>
      <c r="Q246" s="4">
        <v>325</v>
      </c>
      <c r="R246" s="1">
        <v>6.5</v>
      </c>
      <c r="S246" s="5">
        <v>4</v>
      </c>
      <c r="T246" s="4">
        <v>32</v>
      </c>
      <c r="U246" s="1">
        <v>1.6</v>
      </c>
      <c r="V246" s="5">
        <v>1.7</v>
      </c>
      <c r="W246" s="4">
        <v>100</v>
      </c>
      <c r="X246" s="5">
        <v>1</v>
      </c>
      <c r="Y246" s="4">
        <v>400</v>
      </c>
      <c r="Z246" s="5">
        <v>24</v>
      </c>
    </row>
    <row r="247" spans="1:26" x14ac:dyDescent="0.25">
      <c r="A247" s="2" t="s">
        <v>167</v>
      </c>
      <c r="B247" s="6" t="s">
        <v>230</v>
      </c>
      <c r="D247" s="6" t="str">
        <f>VLOOKUP(TRIM(A247),wikily_maps!A:O,15,FALSE)</f>
        <v>Genesis 2</v>
      </c>
      <c r="E247" s="4">
        <v>1295</v>
      </c>
      <c r="F247" s="1">
        <v>194.25</v>
      </c>
      <c r="G247" s="5">
        <v>4.05</v>
      </c>
      <c r="H247" s="4">
        <v>315</v>
      </c>
      <c r="I247" s="1">
        <v>15.75</v>
      </c>
      <c r="J247" s="5">
        <v>5</v>
      </c>
      <c r="K247" s="4">
        <v>150</v>
      </c>
      <c r="L247" s="1">
        <v>15</v>
      </c>
      <c r="M247" s="5">
        <v>10</v>
      </c>
      <c r="N247" s="4">
        <v>1800</v>
      </c>
      <c r="O247" s="1">
        <v>180</v>
      </c>
      <c r="P247" s="5">
        <v>10</v>
      </c>
      <c r="Q247" s="4">
        <v>400</v>
      </c>
      <c r="R247" s="1">
        <v>8</v>
      </c>
      <c r="S247" s="5">
        <v>4</v>
      </c>
      <c r="T247" s="4">
        <v>80</v>
      </c>
      <c r="U247" s="1">
        <v>4</v>
      </c>
      <c r="V247" s="5">
        <v>1.7</v>
      </c>
      <c r="W247" s="4">
        <v>100</v>
      </c>
      <c r="X247" s="5">
        <v>1</v>
      </c>
      <c r="Y247" s="4">
        <v>725</v>
      </c>
      <c r="Z247" s="5">
        <v>43.5</v>
      </c>
    </row>
    <row r="248" spans="1:26" x14ac:dyDescent="0.25">
      <c r="A248" s="2" t="s">
        <v>168</v>
      </c>
      <c r="B248" s="6" t="s">
        <v>230</v>
      </c>
      <c r="D248" s="6" t="str">
        <f>VLOOKUP(TRIM(A248),wikily_maps!A:O,15,FALSE)</f>
        <v>Astraeos, Crystal Isles, Fjordur, Genesis 2, Lost Island, Ragnarok, Scorched Earth</v>
      </c>
      <c r="E248" s="4">
        <v>125</v>
      </c>
      <c r="F248" s="1">
        <v>25</v>
      </c>
      <c r="G248" s="5">
        <v>5.4</v>
      </c>
      <c r="H248" s="4">
        <v>150</v>
      </c>
      <c r="I248" s="1">
        <v>15</v>
      </c>
      <c r="J248" s="5">
        <v>10</v>
      </c>
      <c r="K248" s="4">
        <v>150</v>
      </c>
      <c r="L248" s="1">
        <v>15</v>
      </c>
      <c r="M248" s="5">
        <v>10</v>
      </c>
      <c r="N248" s="4">
        <v>900</v>
      </c>
      <c r="O248" s="1">
        <v>90</v>
      </c>
      <c r="P248" s="5">
        <v>10</v>
      </c>
      <c r="Q248" s="4">
        <v>50</v>
      </c>
      <c r="R248" s="1">
        <v>1</v>
      </c>
      <c r="S248" s="5">
        <v>4</v>
      </c>
      <c r="T248" s="4">
        <v>23</v>
      </c>
      <c r="U248" s="1">
        <v>1.1499999999999999</v>
      </c>
      <c r="V248" s="5">
        <v>1.7</v>
      </c>
      <c r="W248" s="4">
        <v>100</v>
      </c>
      <c r="X248" s="5">
        <v>1</v>
      </c>
      <c r="Y248" s="4">
        <v>100</v>
      </c>
      <c r="Z248" s="5">
        <v>6</v>
      </c>
    </row>
    <row r="249" spans="1:26" x14ac:dyDescent="0.25">
      <c r="A249" s="2" t="s">
        <v>169</v>
      </c>
      <c r="B249" s="6" t="s">
        <v>230</v>
      </c>
      <c r="D249" s="6" t="str">
        <f>VLOOKUP(TRIM(A249),wikily_maps!A:O,15,FALSE)</f>
        <v>Astraeos, Crystal Isles, Extinction, Fjordur, Genesis 2, Lost Island, Ragnarok, The Center, The Island, Valguero</v>
      </c>
      <c r="E249" s="4">
        <v>500</v>
      </c>
      <c r="F249" s="1">
        <v>100</v>
      </c>
      <c r="G249" s="5">
        <v>5.4</v>
      </c>
      <c r="H249" s="4">
        <v>120</v>
      </c>
      <c r="I249" s="1">
        <v>12</v>
      </c>
      <c r="J249" s="5">
        <v>10</v>
      </c>
      <c r="K249" s="4">
        <v>100</v>
      </c>
      <c r="L249" s="1">
        <v>10</v>
      </c>
      <c r="M249" s="5">
        <v>10</v>
      </c>
      <c r="N249" s="4">
        <v>3000</v>
      </c>
      <c r="O249" s="1">
        <v>300</v>
      </c>
      <c r="P249" s="5">
        <v>10</v>
      </c>
      <c r="Q249" s="4">
        <v>750</v>
      </c>
      <c r="R249" s="1">
        <v>15</v>
      </c>
      <c r="S249" s="5">
        <v>4</v>
      </c>
      <c r="T249" s="4">
        <v>40</v>
      </c>
      <c r="U249" s="1">
        <v>2</v>
      </c>
      <c r="V249" s="5">
        <v>1.7</v>
      </c>
      <c r="W249" s="4">
        <v>100</v>
      </c>
      <c r="X249" s="5">
        <v>1</v>
      </c>
      <c r="Y249" s="4">
        <v>600</v>
      </c>
      <c r="Z249" s="5">
        <v>36</v>
      </c>
    </row>
    <row r="250" spans="1:26" x14ac:dyDescent="0.25">
      <c r="A250" s="2" t="s">
        <v>170</v>
      </c>
      <c r="B250" s="6" t="s">
        <v>689</v>
      </c>
      <c r="D250" s="20" t="s">
        <v>688</v>
      </c>
      <c r="E250" s="4">
        <v>1295</v>
      </c>
      <c r="F250" s="1">
        <v>194.25</v>
      </c>
      <c r="G250" s="5">
        <v>3.24</v>
      </c>
      <c r="H250" s="4">
        <v>315</v>
      </c>
      <c r="I250" s="1">
        <v>15.75</v>
      </c>
      <c r="J250" s="5">
        <v>5</v>
      </c>
      <c r="K250" s="4">
        <v>150</v>
      </c>
      <c r="L250" s="1">
        <v>15</v>
      </c>
      <c r="M250" s="5">
        <v>10</v>
      </c>
      <c r="N250" s="4">
        <v>1800</v>
      </c>
      <c r="O250" s="1">
        <v>180</v>
      </c>
      <c r="P250" s="5">
        <v>10</v>
      </c>
      <c r="Q250" s="4">
        <v>400</v>
      </c>
      <c r="R250" s="1">
        <v>8</v>
      </c>
      <c r="S250" s="5">
        <v>4</v>
      </c>
      <c r="T250" s="4">
        <v>80</v>
      </c>
      <c r="U250" s="1">
        <v>4</v>
      </c>
      <c r="V250" s="5">
        <v>1.7</v>
      </c>
      <c r="W250" s="4">
        <v>100</v>
      </c>
      <c r="X250" s="5">
        <v>0</v>
      </c>
      <c r="Y250" s="4">
        <v>725</v>
      </c>
      <c r="Z250" s="5">
        <v>43.5</v>
      </c>
    </row>
    <row r="251" spans="1:26" x14ac:dyDescent="0.25">
      <c r="A251" s="2" t="s">
        <v>170</v>
      </c>
      <c r="B251" s="6" t="s">
        <v>690</v>
      </c>
      <c r="D251" s="20" t="s">
        <v>688</v>
      </c>
      <c r="E251" s="4">
        <v>1295</v>
      </c>
      <c r="F251" s="1">
        <v>194.25</v>
      </c>
      <c r="G251" s="5">
        <v>3.24</v>
      </c>
      <c r="H251" s="4">
        <v>315</v>
      </c>
      <c r="I251" s="1">
        <v>15.75</v>
      </c>
      <c r="J251" s="5">
        <v>5</v>
      </c>
      <c r="K251" s="4">
        <v>150</v>
      </c>
      <c r="L251" s="1">
        <v>15</v>
      </c>
      <c r="M251" s="5">
        <v>10</v>
      </c>
      <c r="N251" s="4">
        <v>1800</v>
      </c>
      <c r="O251" s="1">
        <v>180</v>
      </c>
      <c r="P251" s="5">
        <v>10</v>
      </c>
      <c r="Q251" s="4">
        <v>400</v>
      </c>
      <c r="R251" s="1">
        <v>8</v>
      </c>
      <c r="S251" s="5">
        <v>4</v>
      </c>
      <c r="T251" s="4">
        <v>80</v>
      </c>
      <c r="U251" s="1">
        <v>4</v>
      </c>
      <c r="V251" s="5">
        <v>1.7</v>
      </c>
      <c r="W251" s="4">
        <v>100</v>
      </c>
      <c r="X251" s="5">
        <v>0</v>
      </c>
      <c r="Y251" s="4">
        <v>725</v>
      </c>
      <c r="Z251" s="5">
        <v>43.5</v>
      </c>
    </row>
    <row r="252" spans="1:26" x14ac:dyDescent="0.25">
      <c r="A252" s="2" t="s">
        <v>170</v>
      </c>
      <c r="B252" s="6" t="s">
        <v>691</v>
      </c>
      <c r="D252" s="20" t="s">
        <v>688</v>
      </c>
      <c r="E252" s="4">
        <v>1295</v>
      </c>
      <c r="F252" s="1">
        <v>194.25</v>
      </c>
      <c r="G252" s="5">
        <v>3.24</v>
      </c>
      <c r="H252" s="4">
        <v>315</v>
      </c>
      <c r="I252" s="1">
        <v>15.75</v>
      </c>
      <c r="J252" s="5">
        <v>5</v>
      </c>
      <c r="K252" s="4">
        <v>150</v>
      </c>
      <c r="L252" s="1">
        <v>15</v>
      </c>
      <c r="M252" s="5">
        <v>10</v>
      </c>
      <c r="N252" s="4">
        <v>1800</v>
      </c>
      <c r="O252" s="1">
        <v>180</v>
      </c>
      <c r="P252" s="5">
        <v>10</v>
      </c>
      <c r="Q252" s="4">
        <v>400</v>
      </c>
      <c r="R252" s="1">
        <v>8</v>
      </c>
      <c r="S252" s="5">
        <v>4</v>
      </c>
      <c r="T252" s="4">
        <v>80</v>
      </c>
      <c r="U252" s="1">
        <v>4</v>
      </c>
      <c r="V252" s="5">
        <v>1.7</v>
      </c>
      <c r="W252" s="4">
        <v>100</v>
      </c>
      <c r="X252" s="5">
        <v>0</v>
      </c>
      <c r="Y252" s="4">
        <v>725</v>
      </c>
      <c r="Z252" s="5">
        <v>43.5</v>
      </c>
    </row>
    <row r="253" spans="1:26" x14ac:dyDescent="0.25">
      <c r="A253" s="2" t="s">
        <v>171</v>
      </c>
      <c r="B253" s="6" t="s">
        <v>230</v>
      </c>
      <c r="D253" s="6" t="str">
        <f>VLOOKUP(TRIM(A253),wikily_maps!A:O,15,FALSE)</f>
        <v>Aberration</v>
      </c>
      <c r="E253" s="4">
        <v>325</v>
      </c>
      <c r="F253" s="1">
        <v>65</v>
      </c>
      <c r="G253" s="5">
        <v>5.4</v>
      </c>
      <c r="H253" s="4">
        <v>300</v>
      </c>
      <c r="I253" s="1">
        <v>30</v>
      </c>
      <c r="J253" s="5">
        <v>10</v>
      </c>
      <c r="K253" s="4">
        <v>150</v>
      </c>
      <c r="L253" s="1">
        <v>15</v>
      </c>
      <c r="M253" s="5">
        <v>10</v>
      </c>
      <c r="N253" s="4">
        <v>1200</v>
      </c>
      <c r="O253" s="1">
        <v>120</v>
      </c>
      <c r="P253" s="5">
        <v>10</v>
      </c>
      <c r="Q253" s="4">
        <v>140</v>
      </c>
      <c r="R253" s="1">
        <v>2.8</v>
      </c>
      <c r="S253" s="5">
        <v>4</v>
      </c>
      <c r="T253" s="4">
        <v>23</v>
      </c>
      <c r="U253" s="1">
        <v>1.1499999999999999</v>
      </c>
      <c r="V253" s="5">
        <v>1.7</v>
      </c>
      <c r="W253" s="4">
        <v>100</v>
      </c>
      <c r="X253" s="5">
        <v>1</v>
      </c>
      <c r="Y253" s="4">
        <v>180</v>
      </c>
      <c r="Z253" s="5">
        <v>10.8</v>
      </c>
    </row>
    <row r="254" spans="1:26" x14ac:dyDescent="0.25">
      <c r="A254" s="2" t="s">
        <v>172</v>
      </c>
      <c r="B254" s="6" t="s">
        <v>230</v>
      </c>
      <c r="D254" s="6" t="str">
        <f>VLOOKUP(TRIM(A254),wikily_maps!A:O,15,FALSE)</f>
        <v>Astraeos, Crystal Isles, Extinction, Fjordur, Genesis 2, Lost Island, Ragnarok, Scorched Earth, The Center, The Island, Valguero</v>
      </c>
      <c r="E254" s="4">
        <v>1100</v>
      </c>
      <c r="F254" s="1">
        <v>220</v>
      </c>
      <c r="G254" s="5">
        <v>5.4</v>
      </c>
      <c r="H254" s="4">
        <v>420</v>
      </c>
      <c r="I254" s="1">
        <v>42</v>
      </c>
      <c r="J254" s="5">
        <v>10</v>
      </c>
      <c r="K254" s="4">
        <v>150</v>
      </c>
      <c r="L254" s="1">
        <v>15</v>
      </c>
      <c r="M254" s="5">
        <v>10</v>
      </c>
      <c r="N254" s="4">
        <v>3000</v>
      </c>
      <c r="O254" s="1">
        <v>300</v>
      </c>
      <c r="P254" s="5">
        <v>10</v>
      </c>
      <c r="Q254" s="4">
        <v>500</v>
      </c>
      <c r="R254" s="1">
        <v>10</v>
      </c>
      <c r="S254" s="5">
        <v>4</v>
      </c>
      <c r="T254" s="4">
        <v>55</v>
      </c>
      <c r="U254" s="1">
        <v>2.75</v>
      </c>
      <c r="V254" s="5">
        <v>1.7</v>
      </c>
      <c r="W254" s="4">
        <v>100</v>
      </c>
      <c r="X254" s="5">
        <v>1</v>
      </c>
      <c r="Y254" s="4">
        <v>1550</v>
      </c>
      <c r="Z254" s="5">
        <v>93</v>
      </c>
    </row>
  </sheetData>
  <autoFilter ref="A2:AC254" xr:uid="{F54ACC30-4BA7-4DB6-A82C-77C2412DF7B0}"/>
  <conditionalFormatting sqref="A1:A1048576">
    <cfRule type="duplicateValues" dxfId="1" priority="3"/>
  </conditionalFormatting>
  <conditionalFormatting sqref="E1:Z1048576">
    <cfRule type="cellIs" dxfId="0" priority="1" operator="lessThanOrEqual">
      <formula>0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7259D-450A-424E-B353-6CBD6AA12204}">
  <dimension ref="A1:V574"/>
  <sheetViews>
    <sheetView workbookViewId="0">
      <selection activeCell="A95" sqref="A95:XFD95"/>
    </sheetView>
  </sheetViews>
  <sheetFormatPr baseColWidth="10" defaultRowHeight="15" x14ac:dyDescent="0.25"/>
  <cols>
    <col min="1" max="1" width="28.140625" bestFit="1" customWidth="1"/>
    <col min="2" max="4" width="7.7109375" bestFit="1" customWidth="1"/>
    <col min="5" max="22" width="10.140625" bestFit="1" customWidth="1"/>
  </cols>
  <sheetData>
    <row r="1" spans="1:22" x14ac:dyDescent="0.25">
      <c r="B1" t="s">
        <v>704</v>
      </c>
      <c r="C1" t="s">
        <v>705</v>
      </c>
    </row>
    <row r="2" spans="1:22" x14ac:dyDescent="0.25">
      <c r="A2" t="s">
        <v>701</v>
      </c>
      <c r="B2">
        <v>1000</v>
      </c>
      <c r="C2">
        <v>0.97</v>
      </c>
      <c r="D2">
        <v>50</v>
      </c>
      <c r="E2">
        <v>0.55000000000000004</v>
      </c>
    </row>
    <row r="3" spans="1:22" x14ac:dyDescent="0.25">
      <c r="A3" t="s">
        <v>702</v>
      </c>
      <c r="B3">
        <v>2000</v>
      </c>
      <c r="C3">
        <v>0.97</v>
      </c>
      <c r="D3">
        <v>120</v>
      </c>
      <c r="E3">
        <v>0.7</v>
      </c>
    </row>
    <row r="4" spans="1:22" x14ac:dyDescent="0.25">
      <c r="A4" t="s">
        <v>703</v>
      </c>
      <c r="B4">
        <v>3000</v>
      </c>
      <c r="C4">
        <v>0.97</v>
      </c>
      <c r="D4">
        <v>300</v>
      </c>
      <c r="E4">
        <v>0.8</v>
      </c>
    </row>
    <row r="5" spans="1:22" x14ac:dyDescent="0.25">
      <c r="A5" t="s">
        <v>706</v>
      </c>
      <c r="B5">
        <v>4000</v>
      </c>
      <c r="C5">
        <v>0.97</v>
      </c>
      <c r="D5">
        <v>800</v>
      </c>
      <c r="E5">
        <v>0.88</v>
      </c>
    </row>
    <row r="6" spans="1:22" x14ac:dyDescent="0.25">
      <c r="A6" t="s">
        <v>707</v>
      </c>
      <c r="B6">
        <v>5000</v>
      </c>
      <c r="C6">
        <v>0.97</v>
      </c>
      <c r="D6">
        <v>2000</v>
      </c>
      <c r="E6">
        <v>0.93</v>
      </c>
    </row>
    <row r="7" spans="1:22" x14ac:dyDescent="0.25">
      <c r="A7" t="s">
        <v>708</v>
      </c>
      <c r="B7">
        <v>6000</v>
      </c>
      <c r="C7">
        <v>0.97</v>
      </c>
      <c r="D7">
        <v>5000</v>
      </c>
      <c r="E7">
        <v>0.97</v>
      </c>
    </row>
    <row r="10" spans="1:22" x14ac:dyDescent="0.25">
      <c r="E10" s="23" t="s">
        <v>709</v>
      </c>
      <c r="F10" s="23"/>
      <c r="G10" s="23"/>
      <c r="H10" s="23" t="s">
        <v>710</v>
      </c>
      <c r="I10" s="23"/>
      <c r="J10" s="23"/>
      <c r="K10" s="23" t="s">
        <v>711</v>
      </c>
      <c r="L10" s="23"/>
      <c r="M10" s="23"/>
      <c r="N10" s="23" t="s">
        <v>712</v>
      </c>
      <c r="O10" s="23"/>
      <c r="P10" s="23"/>
      <c r="Q10" s="23" t="s">
        <v>713</v>
      </c>
      <c r="R10" s="23"/>
      <c r="S10" s="23"/>
      <c r="T10" s="23" t="s">
        <v>714</v>
      </c>
      <c r="U10" s="23"/>
      <c r="V10" s="23"/>
    </row>
    <row r="11" spans="1:22" x14ac:dyDescent="0.25">
      <c r="B11" s="22">
        <v>1</v>
      </c>
      <c r="C11" s="22">
        <v>50</v>
      </c>
      <c r="D11" s="22">
        <v>150</v>
      </c>
      <c r="E11" s="22">
        <v>1</v>
      </c>
      <c r="F11" s="22">
        <v>50</v>
      </c>
      <c r="G11" s="22">
        <v>150</v>
      </c>
      <c r="H11" s="22">
        <v>1</v>
      </c>
      <c r="I11" s="22">
        <v>50</v>
      </c>
      <c r="J11" s="22">
        <v>150</v>
      </c>
      <c r="K11" s="22">
        <v>1</v>
      </c>
      <c r="L11" s="22">
        <v>50</v>
      </c>
      <c r="M11" s="22">
        <v>150</v>
      </c>
      <c r="N11" s="22">
        <v>1</v>
      </c>
      <c r="O11" s="22">
        <v>50</v>
      </c>
      <c r="P11" s="22">
        <v>150</v>
      </c>
      <c r="Q11" s="22">
        <v>1</v>
      </c>
      <c r="R11" s="22">
        <v>50</v>
      </c>
      <c r="S11" s="22">
        <v>150</v>
      </c>
      <c r="T11" s="22">
        <v>1</v>
      </c>
      <c r="U11" s="22">
        <v>50</v>
      </c>
      <c r="V11" s="22">
        <v>150</v>
      </c>
    </row>
    <row r="12" spans="1:22" x14ac:dyDescent="0.25">
      <c r="A12" t="str">
        <f>Tabelle2!A3</f>
        <v xml:space="preserve"> Achatina</v>
      </c>
      <c r="B12">
        <f>Tabelle2!$N3+(B$11*Tabelle2!$O3)</f>
        <v>495</v>
      </c>
      <c r="C12">
        <f>Tabelle2!$N3+(C$11*Tabelle2!$O3)</f>
        <v>2700</v>
      </c>
      <c r="D12">
        <f>Tabelle2!$N3+(D$11*Tabelle2!$O3)</f>
        <v>7200</v>
      </c>
      <c r="E12" s="21">
        <f>POWER($C$2,$B12/$B$2)</f>
        <v>0.98503578580358775</v>
      </c>
      <c r="F12" s="21">
        <f>POWER($C$2,$C12/$B$2)</f>
        <v>0.92105100871166823</v>
      </c>
      <c r="G12" s="21">
        <f>POWER($C$2,$D12/$B$2)</f>
        <v>0.80307570329807754</v>
      </c>
      <c r="H12" s="21">
        <f>POWER($C$3,$B12/$B$3)</f>
        <v>0.99248969052760827</v>
      </c>
      <c r="I12" s="21">
        <f>POWER($C$3,$C12/$B$3)</f>
        <v>0.9597140244425254</v>
      </c>
      <c r="J12" s="21">
        <f>POWER($C$3,$D12/$B$3)</f>
        <v>0.89614491199698143</v>
      </c>
      <c r="K12" s="21">
        <f>POWER($C$4,$B12/$B$4)</f>
        <v>0.99498683881266892</v>
      </c>
      <c r="L12" s="21">
        <f>POWER($C$4,$C12/$B$4)</f>
        <v>0.9729590473501305</v>
      </c>
      <c r="M12" s="21">
        <f>POWER($C$4,$D12/$B$4)</f>
        <v>0.92950592451927649</v>
      </c>
      <c r="N12" s="21">
        <f>POWER($C$5,$B12/$B$5)</f>
        <v>0.99623776806925379</v>
      </c>
      <c r="O12" s="21">
        <f>POWER($C$5,$C12/$B$5)</f>
        <v>0.97964994995280097</v>
      </c>
      <c r="P12" s="21">
        <f>POWER($C$5,$D12/$B$5)</f>
        <v>0.94664930782047341</v>
      </c>
      <c r="Q12" s="21">
        <f>POWER($C$6,$B12/$B$6)</f>
        <v>0.99698908039667333</v>
      </c>
      <c r="R12" s="21">
        <f>POWER($C$6,$C12/$B$6)</f>
        <v>0.98368655726246035</v>
      </c>
      <c r="S12" s="21">
        <f>POWER($C$6,$D12/$B$6)</f>
        <v>0.95708673564521296</v>
      </c>
      <c r="T12" s="21">
        <f>POWER($C$7,$B12/$B$7)</f>
        <v>0.99749027003408353</v>
      </c>
      <c r="U12" s="21">
        <f>POWER($C$7,$C12/$B$7)</f>
        <v>0.98638686495214978</v>
      </c>
      <c r="V12" s="21">
        <f>POWER($C$7,$D12/$B$7)</f>
        <v>0.9641088758637566</v>
      </c>
    </row>
    <row r="13" spans="1:22" x14ac:dyDescent="0.25">
      <c r="A13" t="str">
        <f>Tabelle2!A4</f>
        <v xml:space="preserve"> Allosaurus</v>
      </c>
      <c r="B13">
        <f>Tabelle2!$N4+(B$11*Tabelle2!$O4)</f>
        <v>3300</v>
      </c>
      <c r="C13">
        <f>Tabelle2!$N4+(C$11*Tabelle2!$O4)</f>
        <v>18000</v>
      </c>
      <c r="D13">
        <f>Tabelle2!$N4+(D$11*Tabelle2!$O4)</f>
        <v>48000</v>
      </c>
      <c r="E13" s="21">
        <f t="shared" ref="E13:E76" si="0">POWER($C$2,$B13/$B$2)</f>
        <v>0.90437119882657746</v>
      </c>
      <c r="F13" s="21">
        <f t="shared" ref="F13:F76" si="1">POWER($C$2,$C13/$B$2)</f>
        <v>0.57795126254304086</v>
      </c>
      <c r="G13" s="21">
        <f t="shared" ref="G13:G76" si="2">POWER($C$2,$D13/$B$2)</f>
        <v>0.2317625415532017</v>
      </c>
      <c r="H13" s="21">
        <f t="shared" ref="H13:H76" si="3">POWER($C$3,$B13/$B$3)</f>
        <v>0.9509843315357922</v>
      </c>
      <c r="I13" s="21">
        <f t="shared" ref="I13:I76" si="4">POWER($C$3,$C13/$B$3)</f>
        <v>0.76023105865456508</v>
      </c>
      <c r="J13" s="21">
        <f t="shared" ref="J13:J76" si="5">POWER($C$3,$D13/$B$3)</f>
        <v>0.48141722191172354</v>
      </c>
      <c r="K13" s="21">
        <f t="shared" ref="K13:K76" si="6">POWER($C$4,$B13/$B$4)</f>
        <v>0.96704995196103694</v>
      </c>
      <c r="L13" s="21">
        <f t="shared" ref="L13:L76" si="7">POWER($C$4,$C13/$B$4)</f>
        <v>0.83297200492899992</v>
      </c>
      <c r="M13" s="21">
        <f t="shared" ref="M13:M76" si="8">POWER($C$4,$D13/$B$4)</f>
        <v>0.61425365346268557</v>
      </c>
      <c r="N13" s="21">
        <f t="shared" ref="N13:N76" si="9">POWER($C$5,$B13/$B$5)</f>
        <v>0.9751842551722173</v>
      </c>
      <c r="O13" s="21">
        <f t="shared" ref="O13:O76" si="10">POWER($C$5,$C13/$B$5)</f>
        <v>0.87191229986424956</v>
      </c>
      <c r="P13" s="21">
        <f t="shared" ref="P13:P76" si="11">POWER($C$5,$D13/$B$5)</f>
        <v>0.69384236099543783</v>
      </c>
      <c r="Q13" s="21">
        <f t="shared" ref="Q13:Q76" si="12">POWER($C$6,$B13/$B$6)</f>
        <v>0.98009764263406507</v>
      </c>
      <c r="R13" s="21">
        <f t="shared" ref="R13:R76" si="13">POWER($C$6,$C13/$B$6)</f>
        <v>0.89614491199698143</v>
      </c>
      <c r="S13" s="21">
        <f t="shared" ref="S13:S76" si="14">POWER($C$6,$D13/$B$6)</f>
        <v>0.74646362405304778</v>
      </c>
      <c r="T13" s="21">
        <f t="shared" ref="T13:T76" si="15">POWER($C$7,$B13/$B$7)</f>
        <v>0.9833869797597673</v>
      </c>
      <c r="U13" s="21">
        <f t="shared" ref="U13:U76" si="16">POWER($C$7,$C13/$B$7)</f>
        <v>0.91267299999999996</v>
      </c>
      <c r="V13" s="21">
        <f t="shared" ref="V13:V76" si="17">POWER($C$7,$D13/$B$7)</f>
        <v>0.78374335943769602</v>
      </c>
    </row>
    <row r="14" spans="1:22" x14ac:dyDescent="0.25">
      <c r="A14" t="str">
        <f>Tabelle2!A5</f>
        <v xml:space="preserve"> Amargasaurus</v>
      </c>
      <c r="B14">
        <f>Tabelle2!$N5+(B$11*Tabelle2!$O5)</f>
        <v>6930</v>
      </c>
      <c r="C14">
        <f>Tabelle2!$N5+(C$11*Tabelle2!$O5)</f>
        <v>37800</v>
      </c>
      <c r="D14">
        <f>Tabelle2!$N5+(D$11*Tabelle2!$O5)</f>
        <v>100800</v>
      </c>
      <c r="E14" s="21">
        <f t="shared" si="0"/>
        <v>0.80970741884630171</v>
      </c>
      <c r="F14" s="21">
        <f t="shared" si="1"/>
        <v>0.31620705490694956</v>
      </c>
      <c r="G14" s="21">
        <f t="shared" si="2"/>
        <v>4.6407782178054462E-2</v>
      </c>
      <c r="H14" s="21">
        <f t="shared" si="3"/>
        <v>0.89983744023368006</v>
      </c>
      <c r="I14" s="21">
        <f t="shared" si="4"/>
        <v>0.56232290981868205</v>
      </c>
      <c r="J14" s="21">
        <f t="shared" si="5"/>
        <v>0.21542465545534581</v>
      </c>
      <c r="K14" s="21">
        <f t="shared" si="6"/>
        <v>0.93205750152016209</v>
      </c>
      <c r="L14" s="21">
        <f t="shared" si="7"/>
        <v>0.68127719515536722</v>
      </c>
      <c r="M14" s="21">
        <f t="shared" si="8"/>
        <v>0.3593604441497753</v>
      </c>
      <c r="N14" s="21">
        <f t="shared" si="9"/>
        <v>0.94859761766181983</v>
      </c>
      <c r="O14" s="21">
        <f t="shared" si="10"/>
        <v>0.74988193058553021</v>
      </c>
      <c r="P14" s="21">
        <f t="shared" si="11"/>
        <v>0.46413861663876432</v>
      </c>
      <c r="Q14" s="21">
        <f t="shared" si="12"/>
        <v>0.95866224457330163</v>
      </c>
      <c r="R14" s="21">
        <f t="shared" si="13"/>
        <v>0.79431782966050712</v>
      </c>
      <c r="S14" s="21">
        <f t="shared" si="14"/>
        <v>0.54115062305300898</v>
      </c>
      <c r="T14" s="21">
        <f t="shared" si="15"/>
        <v>0.96543125157629017</v>
      </c>
      <c r="U14" s="21">
        <f t="shared" si="16"/>
        <v>0.82539517514664895</v>
      </c>
      <c r="V14" s="21">
        <f t="shared" si="17"/>
        <v>0.59946679987283313</v>
      </c>
    </row>
    <row r="15" spans="1:22" x14ac:dyDescent="0.25">
      <c r="A15" t="str">
        <f>Tabelle2!A6</f>
        <v xml:space="preserve"> Ammonite</v>
      </c>
      <c r="B15">
        <f>Tabelle2!$N6+(B$11*Tabelle2!$O6)</f>
        <v>495</v>
      </c>
      <c r="C15">
        <f>Tabelle2!$N6+(C$11*Tabelle2!$O6)</f>
        <v>2700</v>
      </c>
      <c r="D15">
        <f>Tabelle2!$N6+(D$11*Tabelle2!$O6)</f>
        <v>7200</v>
      </c>
      <c r="E15" s="21">
        <f t="shared" si="0"/>
        <v>0.98503578580358775</v>
      </c>
      <c r="F15" s="21">
        <f t="shared" si="1"/>
        <v>0.92105100871166823</v>
      </c>
      <c r="G15" s="21">
        <f t="shared" si="2"/>
        <v>0.80307570329807754</v>
      </c>
      <c r="H15" s="21">
        <f t="shared" si="3"/>
        <v>0.99248969052760827</v>
      </c>
      <c r="I15" s="21">
        <f t="shared" si="4"/>
        <v>0.9597140244425254</v>
      </c>
      <c r="J15" s="21">
        <f t="shared" si="5"/>
        <v>0.89614491199698143</v>
      </c>
      <c r="K15" s="21">
        <f t="shared" si="6"/>
        <v>0.99498683881266892</v>
      </c>
      <c r="L15" s="21">
        <f t="shared" si="7"/>
        <v>0.9729590473501305</v>
      </c>
      <c r="M15" s="21">
        <f t="shared" si="8"/>
        <v>0.92950592451927649</v>
      </c>
      <c r="N15" s="21">
        <f t="shared" si="9"/>
        <v>0.99623776806925379</v>
      </c>
      <c r="O15" s="21">
        <f t="shared" si="10"/>
        <v>0.97964994995280097</v>
      </c>
      <c r="P15" s="21">
        <f t="shared" si="11"/>
        <v>0.94664930782047341</v>
      </c>
      <c r="Q15" s="21">
        <f t="shared" si="12"/>
        <v>0.99698908039667333</v>
      </c>
      <c r="R15" s="21">
        <f t="shared" si="13"/>
        <v>0.98368655726246035</v>
      </c>
      <c r="S15" s="21">
        <f t="shared" si="14"/>
        <v>0.95708673564521296</v>
      </c>
      <c r="T15" s="21">
        <f t="shared" si="15"/>
        <v>0.99749027003408353</v>
      </c>
      <c r="U15" s="21">
        <f t="shared" si="16"/>
        <v>0.98638686495214978</v>
      </c>
      <c r="V15" s="21">
        <f t="shared" si="17"/>
        <v>0.9641088758637566</v>
      </c>
    </row>
    <row r="16" spans="1:22" x14ac:dyDescent="0.25">
      <c r="A16" t="str">
        <f>Tabelle2!A7</f>
        <v xml:space="preserve"> Andrewsarchus</v>
      </c>
      <c r="B16">
        <f>Tabelle2!$N7+(B$11*Tabelle2!$O7)</f>
        <v>2391.4</v>
      </c>
      <c r="C16">
        <f>Tabelle2!$N7+(C$11*Tabelle2!$O7)</f>
        <v>13044</v>
      </c>
      <c r="D16">
        <f>Tabelle2!$N7+(D$11*Tabelle2!$O7)</f>
        <v>34784</v>
      </c>
      <c r="E16" s="21">
        <f t="shared" si="0"/>
        <v>0.92974943973098312</v>
      </c>
      <c r="F16" s="21">
        <f t="shared" si="1"/>
        <v>0.67212569996596239</v>
      </c>
      <c r="G16" s="21">
        <f t="shared" si="2"/>
        <v>0.34663148260604448</v>
      </c>
      <c r="H16" s="21">
        <f t="shared" si="3"/>
        <v>0.96423515790028269</v>
      </c>
      <c r="I16" s="21">
        <f t="shared" si="4"/>
        <v>0.81983272682051578</v>
      </c>
      <c r="J16" s="21">
        <f t="shared" si="5"/>
        <v>0.58875417841918076</v>
      </c>
      <c r="K16" s="21">
        <f t="shared" si="6"/>
        <v>0.97601233962264622</v>
      </c>
      <c r="L16" s="21">
        <f t="shared" si="7"/>
        <v>0.87595843820433617</v>
      </c>
      <c r="M16" s="21">
        <f t="shared" si="8"/>
        <v>0.70246172888340042</v>
      </c>
      <c r="N16" s="21">
        <f t="shared" si="9"/>
        <v>0.98195476367309442</v>
      </c>
      <c r="O16" s="21">
        <f t="shared" si="10"/>
        <v>0.90544614794062472</v>
      </c>
      <c r="P16" s="21">
        <f t="shared" si="11"/>
        <v>0.76730318546137988</v>
      </c>
      <c r="Q16" s="21">
        <f t="shared" si="12"/>
        <v>0.98553757057152891</v>
      </c>
      <c r="R16" s="21">
        <f t="shared" si="13"/>
        <v>0.92361313462348404</v>
      </c>
      <c r="S16" s="21">
        <f t="shared" si="14"/>
        <v>0.80904671890979829</v>
      </c>
      <c r="T16" s="21">
        <f t="shared" si="15"/>
        <v>0.98793336800750187</v>
      </c>
      <c r="U16" s="21">
        <f t="shared" si="16"/>
        <v>0.93592651325001808</v>
      </c>
      <c r="V16" s="21">
        <f t="shared" si="17"/>
        <v>0.83812989976697549</v>
      </c>
    </row>
    <row r="17" spans="1:22" x14ac:dyDescent="0.25">
      <c r="A17" t="str">
        <f>Tabelle2!A8</f>
        <v xml:space="preserve"> Anglerfish</v>
      </c>
      <c r="B17">
        <f>Tabelle2!$N8+(B$11*Tabelle2!$O8)</f>
        <v>1650</v>
      </c>
      <c r="C17">
        <f>Tabelle2!$N8+(C$11*Tabelle2!$O8)</f>
        <v>9000</v>
      </c>
      <c r="D17">
        <f>Tabelle2!$N8+(D$11*Tabelle2!$O8)</f>
        <v>24000</v>
      </c>
      <c r="E17" s="21">
        <f t="shared" si="0"/>
        <v>0.9509843315357922</v>
      </c>
      <c r="F17" s="21">
        <f t="shared" si="1"/>
        <v>0.76023105865456508</v>
      </c>
      <c r="G17" s="21">
        <f t="shared" si="2"/>
        <v>0.48141722191172354</v>
      </c>
      <c r="H17" s="21">
        <f t="shared" si="3"/>
        <v>0.9751842551722173</v>
      </c>
      <c r="I17" s="21">
        <f t="shared" si="4"/>
        <v>0.87191229986424956</v>
      </c>
      <c r="J17" s="21">
        <f t="shared" si="5"/>
        <v>0.69384236099543783</v>
      </c>
      <c r="K17" s="21">
        <f t="shared" si="6"/>
        <v>0.9833869797597673</v>
      </c>
      <c r="L17" s="21">
        <f t="shared" si="7"/>
        <v>0.91267299999999996</v>
      </c>
      <c r="M17" s="21">
        <f t="shared" si="8"/>
        <v>0.78374335943769602</v>
      </c>
      <c r="N17" s="21">
        <f t="shared" si="9"/>
        <v>0.9875141797322291</v>
      </c>
      <c r="O17" s="21">
        <f t="shared" si="10"/>
        <v>0.93376244295015931</v>
      </c>
      <c r="P17" s="21">
        <f t="shared" si="11"/>
        <v>0.83297200492899992</v>
      </c>
      <c r="Q17" s="21">
        <f t="shared" si="12"/>
        <v>0.98999880941042806</v>
      </c>
      <c r="R17" s="21">
        <f t="shared" si="13"/>
        <v>0.94664930782047341</v>
      </c>
      <c r="S17" s="21">
        <f t="shared" si="14"/>
        <v>0.86398126371643491</v>
      </c>
      <c r="T17" s="21">
        <f t="shared" si="15"/>
        <v>0.99165870124744393</v>
      </c>
      <c r="U17" s="21">
        <f t="shared" si="16"/>
        <v>0.95533920677422213</v>
      </c>
      <c r="V17" s="21">
        <f t="shared" si="17"/>
        <v>0.88529280999999993</v>
      </c>
    </row>
    <row r="18" spans="1:22" x14ac:dyDescent="0.25">
      <c r="A18" t="str">
        <f>Tabelle2!A9</f>
        <v xml:space="preserve"> Ankylosaurus</v>
      </c>
      <c r="B18">
        <f>Tabelle2!$N9+(B$11*Tabelle2!$O9)</f>
        <v>3300</v>
      </c>
      <c r="C18">
        <f>Tabelle2!$N9+(C$11*Tabelle2!$O9)</f>
        <v>18000</v>
      </c>
      <c r="D18">
        <f>Tabelle2!$N9+(D$11*Tabelle2!$O9)</f>
        <v>48000</v>
      </c>
      <c r="E18" s="21">
        <f t="shared" si="0"/>
        <v>0.90437119882657746</v>
      </c>
      <c r="F18" s="21">
        <f t="shared" si="1"/>
        <v>0.57795126254304086</v>
      </c>
      <c r="G18" s="21">
        <f t="shared" si="2"/>
        <v>0.2317625415532017</v>
      </c>
      <c r="H18" s="21">
        <f t="shared" si="3"/>
        <v>0.9509843315357922</v>
      </c>
      <c r="I18" s="21">
        <f t="shared" si="4"/>
        <v>0.76023105865456508</v>
      </c>
      <c r="J18" s="21">
        <f t="shared" si="5"/>
        <v>0.48141722191172354</v>
      </c>
      <c r="K18" s="21">
        <f t="shared" si="6"/>
        <v>0.96704995196103694</v>
      </c>
      <c r="L18" s="21">
        <f t="shared" si="7"/>
        <v>0.83297200492899992</v>
      </c>
      <c r="M18" s="21">
        <f t="shared" si="8"/>
        <v>0.61425365346268557</v>
      </c>
      <c r="N18" s="21">
        <f t="shared" si="9"/>
        <v>0.9751842551722173</v>
      </c>
      <c r="O18" s="21">
        <f t="shared" si="10"/>
        <v>0.87191229986424956</v>
      </c>
      <c r="P18" s="21">
        <f t="shared" si="11"/>
        <v>0.69384236099543783</v>
      </c>
      <c r="Q18" s="21">
        <f t="shared" si="12"/>
        <v>0.98009764263406507</v>
      </c>
      <c r="R18" s="21">
        <f t="shared" si="13"/>
        <v>0.89614491199698143</v>
      </c>
      <c r="S18" s="21">
        <f t="shared" si="14"/>
        <v>0.74646362405304778</v>
      </c>
      <c r="T18" s="21">
        <f t="shared" si="15"/>
        <v>0.9833869797597673</v>
      </c>
      <c r="U18" s="21">
        <f t="shared" si="16"/>
        <v>0.91267299999999996</v>
      </c>
      <c r="V18" s="21">
        <f t="shared" si="17"/>
        <v>0.78374335943769602</v>
      </c>
    </row>
    <row r="19" spans="1:22" x14ac:dyDescent="0.25">
      <c r="A19" t="str">
        <f>Tabelle2!A10</f>
        <v xml:space="preserve"> Araneo</v>
      </c>
      <c r="B19">
        <f>Tabelle2!$N10+(B$11*Tabelle2!$O10)</f>
        <v>990</v>
      </c>
      <c r="C19">
        <f>Tabelle2!$N10+(C$11*Tabelle2!$O10)</f>
        <v>5400</v>
      </c>
      <c r="D19">
        <f>Tabelle2!$N10+(D$11*Tabelle2!$O10)</f>
        <v>14400</v>
      </c>
      <c r="E19" s="21">
        <f t="shared" si="0"/>
        <v>0.97029549931369152</v>
      </c>
      <c r="F19" s="21">
        <f t="shared" si="1"/>
        <v>0.84833496064878156</v>
      </c>
      <c r="G19" s="21">
        <f t="shared" si="2"/>
        <v>0.64493058522770197</v>
      </c>
      <c r="H19" s="21">
        <f t="shared" si="3"/>
        <v>0.98503578580358775</v>
      </c>
      <c r="I19" s="21">
        <f t="shared" si="4"/>
        <v>0.92105100871166823</v>
      </c>
      <c r="J19" s="21">
        <f t="shared" si="5"/>
        <v>0.80307570329807754</v>
      </c>
      <c r="K19" s="21">
        <f t="shared" si="6"/>
        <v>0.98999880941042806</v>
      </c>
      <c r="L19" s="21">
        <f t="shared" si="7"/>
        <v>0.94664930782047341</v>
      </c>
      <c r="M19" s="21">
        <f t="shared" si="8"/>
        <v>0.86398126371643491</v>
      </c>
      <c r="N19" s="21">
        <f t="shared" si="9"/>
        <v>0.99248969052760827</v>
      </c>
      <c r="O19" s="21">
        <f t="shared" si="10"/>
        <v>0.9597140244425254</v>
      </c>
      <c r="P19" s="21">
        <f t="shared" si="11"/>
        <v>0.89614491199698143</v>
      </c>
      <c r="Q19" s="21">
        <f t="shared" si="12"/>
        <v>0.99398722643020432</v>
      </c>
      <c r="R19" s="21">
        <f t="shared" si="13"/>
        <v>0.96763924293887171</v>
      </c>
      <c r="S19" s="21">
        <f t="shared" si="14"/>
        <v>0.91601501954800979</v>
      </c>
      <c r="T19" s="21">
        <f t="shared" si="15"/>
        <v>0.99498683881266892</v>
      </c>
      <c r="U19" s="21">
        <f t="shared" si="16"/>
        <v>0.9729590473501305</v>
      </c>
      <c r="V19" s="21">
        <f t="shared" si="17"/>
        <v>0.92950592451927649</v>
      </c>
    </row>
    <row r="20" spans="1:22" x14ac:dyDescent="0.25">
      <c r="A20" t="str">
        <f>Tabelle2!A11</f>
        <v xml:space="preserve"> Archaeopteryx</v>
      </c>
      <c r="B20">
        <f>Tabelle2!$N11+(B$11*Tabelle2!$O11)</f>
        <v>990</v>
      </c>
      <c r="C20">
        <f>Tabelle2!$N11+(C$11*Tabelle2!$O11)</f>
        <v>5400</v>
      </c>
      <c r="D20">
        <f>Tabelle2!$N11+(D$11*Tabelle2!$O11)</f>
        <v>14400</v>
      </c>
      <c r="E20" s="21">
        <f t="shared" si="0"/>
        <v>0.97029549931369152</v>
      </c>
      <c r="F20" s="21">
        <f t="shared" si="1"/>
        <v>0.84833496064878156</v>
      </c>
      <c r="G20" s="21">
        <f t="shared" si="2"/>
        <v>0.64493058522770197</v>
      </c>
      <c r="H20" s="21">
        <f t="shared" si="3"/>
        <v>0.98503578580358775</v>
      </c>
      <c r="I20" s="21">
        <f t="shared" si="4"/>
        <v>0.92105100871166823</v>
      </c>
      <c r="J20" s="21">
        <f t="shared" si="5"/>
        <v>0.80307570329807754</v>
      </c>
      <c r="K20" s="21">
        <f t="shared" si="6"/>
        <v>0.98999880941042806</v>
      </c>
      <c r="L20" s="21">
        <f t="shared" si="7"/>
        <v>0.94664930782047341</v>
      </c>
      <c r="M20" s="21">
        <f t="shared" si="8"/>
        <v>0.86398126371643491</v>
      </c>
      <c r="N20" s="21">
        <f t="shared" si="9"/>
        <v>0.99248969052760827</v>
      </c>
      <c r="O20" s="21">
        <f t="shared" si="10"/>
        <v>0.9597140244425254</v>
      </c>
      <c r="P20" s="21">
        <f t="shared" si="11"/>
        <v>0.89614491199698143</v>
      </c>
      <c r="Q20" s="21">
        <f t="shared" si="12"/>
        <v>0.99398722643020432</v>
      </c>
      <c r="R20" s="21">
        <f t="shared" si="13"/>
        <v>0.96763924293887171</v>
      </c>
      <c r="S20" s="21">
        <f t="shared" si="14"/>
        <v>0.91601501954800979</v>
      </c>
      <c r="T20" s="21">
        <f t="shared" si="15"/>
        <v>0.99498683881266892</v>
      </c>
      <c r="U20" s="21">
        <f t="shared" si="16"/>
        <v>0.9729590473501305</v>
      </c>
      <c r="V20" s="21">
        <f t="shared" si="17"/>
        <v>0.92950592451927649</v>
      </c>
    </row>
    <row r="21" spans="1:22" x14ac:dyDescent="0.25">
      <c r="A21" t="str">
        <f>Tabelle2!A12</f>
        <v xml:space="preserve"> Archelon</v>
      </c>
      <c r="B21">
        <f>Tabelle2!$N12+(B$11*Tabelle2!$O12)</f>
        <v>3850</v>
      </c>
      <c r="C21">
        <f>Tabelle2!$N12+(C$11*Tabelle2!$O12)</f>
        <v>21000</v>
      </c>
      <c r="D21">
        <f>Tabelle2!$N12+(D$11*Tabelle2!$O12)</f>
        <v>56000</v>
      </c>
      <c r="E21" s="21">
        <f t="shared" si="0"/>
        <v>0.88934686179578804</v>
      </c>
      <c r="F21" s="21">
        <f t="shared" si="1"/>
        <v>0.52748051263894469</v>
      </c>
      <c r="G21" s="21">
        <f t="shared" si="2"/>
        <v>0.18164235290872491</v>
      </c>
      <c r="H21" s="21">
        <f t="shared" si="3"/>
        <v>0.94305188711745236</v>
      </c>
      <c r="I21" s="21">
        <f t="shared" si="4"/>
        <v>0.72627853654017926</v>
      </c>
      <c r="J21" s="21">
        <f t="shared" si="5"/>
        <v>0.42619520516862325</v>
      </c>
      <c r="K21" s="21">
        <f t="shared" si="6"/>
        <v>0.96166481299441053</v>
      </c>
      <c r="L21" s="21">
        <f t="shared" si="7"/>
        <v>0.80798284478112992</v>
      </c>
      <c r="M21" s="21">
        <f t="shared" si="8"/>
        <v>0.56633365780302158</v>
      </c>
      <c r="N21" s="21">
        <f t="shared" si="9"/>
        <v>0.97110858667682076</v>
      </c>
      <c r="O21" s="21">
        <f t="shared" si="10"/>
        <v>0.85221977009465066</v>
      </c>
      <c r="P21" s="21">
        <f t="shared" si="11"/>
        <v>0.65283627746060746</v>
      </c>
      <c r="Q21" s="21">
        <f t="shared" si="12"/>
        <v>0.97681930803224115</v>
      </c>
      <c r="R21" s="21">
        <f t="shared" si="13"/>
        <v>0.87991614006120222</v>
      </c>
      <c r="S21" s="21">
        <f t="shared" si="14"/>
        <v>0.71095714601548132</v>
      </c>
      <c r="T21" s="21">
        <f t="shared" si="15"/>
        <v>0.98064510042849373</v>
      </c>
      <c r="U21" s="21">
        <f t="shared" si="16"/>
        <v>0.89887865965386549</v>
      </c>
      <c r="V21" s="21">
        <f t="shared" si="17"/>
        <v>0.75255143199851904</v>
      </c>
    </row>
    <row r="22" spans="1:22" x14ac:dyDescent="0.25">
      <c r="A22" t="str">
        <f>Tabelle2!A13</f>
        <v xml:space="preserve"> Argentavis</v>
      </c>
      <c r="B22">
        <f>Tabelle2!$N13+(B$11*Tabelle2!$O13)</f>
        <v>2200</v>
      </c>
      <c r="C22">
        <f>Tabelle2!$N13+(C$11*Tabelle2!$O13)</f>
        <v>12000</v>
      </c>
      <c r="D22">
        <f>Tabelle2!$N13+(D$11*Tabelle2!$O13)</f>
        <v>32000</v>
      </c>
      <c r="E22" s="21">
        <f t="shared" si="0"/>
        <v>0.93518560958784391</v>
      </c>
      <c r="F22" s="21">
        <f t="shared" si="1"/>
        <v>0.69384236099543783</v>
      </c>
      <c r="G22" s="21">
        <f t="shared" si="2"/>
        <v>0.37730755079225703</v>
      </c>
      <c r="H22" s="21">
        <f t="shared" si="3"/>
        <v>0.96704995196103694</v>
      </c>
      <c r="I22" s="21">
        <f t="shared" si="4"/>
        <v>0.83297200492899992</v>
      </c>
      <c r="J22" s="21">
        <f t="shared" si="5"/>
        <v>0.61425365346268557</v>
      </c>
      <c r="K22" s="21">
        <f t="shared" si="6"/>
        <v>0.97791086600448651</v>
      </c>
      <c r="L22" s="21">
        <f t="shared" si="7"/>
        <v>0.88529280999999993</v>
      </c>
      <c r="M22" s="21">
        <f t="shared" si="8"/>
        <v>0.72260090115384579</v>
      </c>
      <c r="N22" s="21">
        <f t="shared" si="9"/>
        <v>0.9833869797597673</v>
      </c>
      <c r="O22" s="21">
        <f t="shared" si="10"/>
        <v>0.91267299999999996</v>
      </c>
      <c r="P22" s="21">
        <f t="shared" si="11"/>
        <v>0.78374335943769602</v>
      </c>
      <c r="Q22" s="21">
        <f t="shared" si="12"/>
        <v>0.98668735633527116</v>
      </c>
      <c r="R22" s="21">
        <f t="shared" si="13"/>
        <v>0.92950592451927649</v>
      </c>
      <c r="S22" s="21">
        <f t="shared" si="14"/>
        <v>0.82288491182931811</v>
      </c>
      <c r="T22" s="21">
        <f t="shared" si="15"/>
        <v>0.98889375870438512</v>
      </c>
      <c r="U22" s="21">
        <f t="shared" si="16"/>
        <v>0.94089999999999996</v>
      </c>
      <c r="V22" s="21">
        <f t="shared" si="17"/>
        <v>0.850059351547788</v>
      </c>
    </row>
    <row r="23" spans="1:22" x14ac:dyDescent="0.25">
      <c r="A23" t="str">
        <f>Tabelle2!A14</f>
        <v xml:space="preserve"> Armadoggo</v>
      </c>
      <c r="B23">
        <f>Tabelle2!$N14+(B$11*Tabelle2!$O14)</f>
        <v>1320</v>
      </c>
      <c r="C23">
        <f>Tabelle2!$N14+(C$11*Tabelle2!$O14)</f>
        <v>7200</v>
      </c>
      <c r="D23">
        <f>Tabelle2!$N14+(D$11*Tabelle2!$O14)</f>
        <v>19200</v>
      </c>
      <c r="E23" s="21">
        <f t="shared" si="0"/>
        <v>0.96059138909685149</v>
      </c>
      <c r="F23" s="21">
        <f t="shared" si="1"/>
        <v>0.80307570329807754</v>
      </c>
      <c r="G23" s="21">
        <f t="shared" si="2"/>
        <v>0.55720794203440982</v>
      </c>
      <c r="H23" s="21">
        <f t="shared" si="3"/>
        <v>0.98009764263406507</v>
      </c>
      <c r="I23" s="21">
        <f t="shared" si="4"/>
        <v>0.89614491199698143</v>
      </c>
      <c r="J23" s="21">
        <f t="shared" si="5"/>
        <v>0.74646362405304778</v>
      </c>
      <c r="K23" s="21">
        <f t="shared" si="6"/>
        <v>0.98668735633527116</v>
      </c>
      <c r="L23" s="21">
        <f t="shared" si="7"/>
        <v>0.92950592451927649</v>
      </c>
      <c r="M23" s="21">
        <f t="shared" si="8"/>
        <v>0.82288491182931811</v>
      </c>
      <c r="N23" s="21">
        <f t="shared" si="9"/>
        <v>0.98999880941042806</v>
      </c>
      <c r="O23" s="21">
        <f t="shared" si="10"/>
        <v>0.94664930782047341</v>
      </c>
      <c r="P23" s="21">
        <f t="shared" si="11"/>
        <v>0.86398126371643491</v>
      </c>
      <c r="Q23" s="21">
        <f t="shared" si="12"/>
        <v>0.9919910134346358</v>
      </c>
      <c r="R23" s="21">
        <f t="shared" si="13"/>
        <v>0.95708673564521296</v>
      </c>
      <c r="S23" s="21">
        <f t="shared" si="14"/>
        <v>0.88961779106104</v>
      </c>
      <c r="T23" s="21">
        <f t="shared" si="15"/>
        <v>0.99332137615943372</v>
      </c>
      <c r="U23" s="21">
        <f t="shared" si="16"/>
        <v>0.9641088758637566</v>
      </c>
      <c r="V23" s="21">
        <f t="shared" si="17"/>
        <v>0.90713004130020858</v>
      </c>
    </row>
    <row r="24" spans="1:22" x14ac:dyDescent="0.25">
      <c r="A24" t="str">
        <f>Tabelle2!A15</f>
        <v xml:space="preserve"> Arthropluera</v>
      </c>
      <c r="B24">
        <f>Tabelle2!$N15+(B$11*Tabelle2!$O15)</f>
        <v>1320</v>
      </c>
      <c r="C24">
        <f>Tabelle2!$N15+(C$11*Tabelle2!$O15)</f>
        <v>7200</v>
      </c>
      <c r="D24">
        <f>Tabelle2!$N15+(D$11*Tabelle2!$O15)</f>
        <v>19200</v>
      </c>
      <c r="E24" s="21">
        <f t="shared" si="0"/>
        <v>0.96059138909685149</v>
      </c>
      <c r="F24" s="21">
        <f t="shared" si="1"/>
        <v>0.80307570329807754</v>
      </c>
      <c r="G24" s="21">
        <f t="shared" si="2"/>
        <v>0.55720794203440982</v>
      </c>
      <c r="H24" s="21">
        <f t="shared" si="3"/>
        <v>0.98009764263406507</v>
      </c>
      <c r="I24" s="21">
        <f t="shared" si="4"/>
        <v>0.89614491199698143</v>
      </c>
      <c r="J24" s="21">
        <f t="shared" si="5"/>
        <v>0.74646362405304778</v>
      </c>
      <c r="K24" s="21">
        <f t="shared" si="6"/>
        <v>0.98668735633527116</v>
      </c>
      <c r="L24" s="21">
        <f t="shared" si="7"/>
        <v>0.92950592451927649</v>
      </c>
      <c r="M24" s="21">
        <f t="shared" si="8"/>
        <v>0.82288491182931811</v>
      </c>
      <c r="N24" s="21">
        <f t="shared" si="9"/>
        <v>0.98999880941042806</v>
      </c>
      <c r="O24" s="21">
        <f t="shared" si="10"/>
        <v>0.94664930782047341</v>
      </c>
      <c r="P24" s="21">
        <f t="shared" si="11"/>
        <v>0.86398126371643491</v>
      </c>
      <c r="Q24" s="21">
        <f t="shared" si="12"/>
        <v>0.9919910134346358</v>
      </c>
      <c r="R24" s="21">
        <f t="shared" si="13"/>
        <v>0.95708673564521296</v>
      </c>
      <c r="S24" s="21">
        <f t="shared" si="14"/>
        <v>0.88961779106104</v>
      </c>
      <c r="T24" s="21">
        <f t="shared" si="15"/>
        <v>0.99332137615943372</v>
      </c>
      <c r="U24" s="21">
        <f t="shared" si="16"/>
        <v>0.9641088758637566</v>
      </c>
      <c r="V24" s="21">
        <f t="shared" si="17"/>
        <v>0.90713004130020858</v>
      </c>
    </row>
    <row r="25" spans="1:22" x14ac:dyDescent="0.25">
      <c r="A25" t="str">
        <f>Tabelle2!A16</f>
        <v xml:space="preserve"> Astrocetus</v>
      </c>
      <c r="B25">
        <f>Tabelle2!$N16+(B$11*Tabelle2!$O16)</f>
        <v>6600</v>
      </c>
      <c r="C25">
        <f>Tabelle2!$N16+(C$11*Tabelle2!$O16)</f>
        <v>36000</v>
      </c>
      <c r="D25">
        <f>Tabelle2!$N16+(D$11*Tabelle2!$O16)</f>
        <v>96000</v>
      </c>
      <c r="E25" s="21">
        <f t="shared" si="0"/>
        <v>0.81788726526702094</v>
      </c>
      <c r="F25" s="21">
        <f t="shared" si="1"/>
        <v>0.33402766187509492</v>
      </c>
      <c r="G25" s="21">
        <f t="shared" si="2"/>
        <v>5.3713875667199547E-2</v>
      </c>
      <c r="H25" s="21">
        <f t="shared" si="3"/>
        <v>0.90437119882657746</v>
      </c>
      <c r="I25" s="21">
        <f t="shared" si="4"/>
        <v>0.57795126254304086</v>
      </c>
      <c r="J25" s="21">
        <f t="shared" si="5"/>
        <v>0.2317625415532017</v>
      </c>
      <c r="K25" s="21">
        <f t="shared" si="6"/>
        <v>0.93518560958784391</v>
      </c>
      <c r="L25" s="21">
        <f t="shared" si="7"/>
        <v>0.69384236099543783</v>
      </c>
      <c r="M25" s="21">
        <f t="shared" si="8"/>
        <v>0.37730755079225703</v>
      </c>
      <c r="N25" s="21">
        <f t="shared" si="9"/>
        <v>0.9509843315357922</v>
      </c>
      <c r="O25" s="21">
        <f t="shared" si="10"/>
        <v>0.76023105865456508</v>
      </c>
      <c r="P25" s="21">
        <f t="shared" si="11"/>
        <v>0.48141722191172354</v>
      </c>
      <c r="Q25" s="21">
        <f t="shared" si="12"/>
        <v>0.96059138909685149</v>
      </c>
      <c r="R25" s="21">
        <f t="shared" si="13"/>
        <v>0.80307570329807754</v>
      </c>
      <c r="S25" s="21">
        <f t="shared" si="14"/>
        <v>0.55720794203440982</v>
      </c>
      <c r="T25" s="21">
        <f t="shared" si="15"/>
        <v>0.96704995196103694</v>
      </c>
      <c r="U25" s="21">
        <f t="shared" si="16"/>
        <v>0.83297200492899992</v>
      </c>
      <c r="V25" s="21">
        <f t="shared" si="17"/>
        <v>0.61425365346268557</v>
      </c>
    </row>
    <row r="26" spans="1:22" x14ac:dyDescent="0.25">
      <c r="A26" t="str">
        <f>Tabelle2!A17</f>
        <v xml:space="preserve"> Astrodelphis</v>
      </c>
      <c r="B26">
        <f>Tabelle2!$N17+(B$11*Tabelle2!$O17)</f>
        <v>1760</v>
      </c>
      <c r="C26">
        <f>Tabelle2!$N17+(C$11*Tabelle2!$O17)</f>
        <v>9600</v>
      </c>
      <c r="D26">
        <f>Tabelle2!$N17+(D$11*Tabelle2!$O17)</f>
        <v>25600</v>
      </c>
      <c r="E26" s="21">
        <f t="shared" si="0"/>
        <v>0.94780337822639815</v>
      </c>
      <c r="F26" s="21">
        <f t="shared" si="1"/>
        <v>0.74646362405304778</v>
      </c>
      <c r="G26" s="21">
        <f t="shared" si="2"/>
        <v>0.45851800825158107</v>
      </c>
      <c r="H26" s="21">
        <f t="shared" si="3"/>
        <v>0.97355193915188631</v>
      </c>
      <c r="I26" s="21">
        <f t="shared" si="4"/>
        <v>0.86398126371643491</v>
      </c>
      <c r="J26" s="21">
        <f t="shared" si="5"/>
        <v>0.67713957811634451</v>
      </c>
      <c r="K26" s="21">
        <f t="shared" si="6"/>
        <v>0.98228930927171476</v>
      </c>
      <c r="L26" s="21">
        <f t="shared" si="7"/>
        <v>0.90713004130020858</v>
      </c>
      <c r="M26" s="21">
        <f t="shared" si="8"/>
        <v>0.77111437467717336</v>
      </c>
      <c r="N26" s="21">
        <f t="shared" si="9"/>
        <v>0.98668735633527116</v>
      </c>
      <c r="O26" s="21">
        <f t="shared" si="10"/>
        <v>0.92950592451927649</v>
      </c>
      <c r="P26" s="21">
        <f t="shared" si="11"/>
        <v>0.82288491182931811</v>
      </c>
      <c r="Q26" s="21">
        <f t="shared" si="12"/>
        <v>0.98933563089285692</v>
      </c>
      <c r="R26" s="21">
        <f t="shared" si="13"/>
        <v>0.94319552112011218</v>
      </c>
      <c r="S26" s="21">
        <f t="shared" si="14"/>
        <v>0.85560099202785911</v>
      </c>
      <c r="T26" s="21">
        <f t="shared" si="15"/>
        <v>0.99110509496809407</v>
      </c>
      <c r="U26" s="21">
        <f t="shared" si="16"/>
        <v>0.95243374640980072</v>
      </c>
      <c r="V26" s="21">
        <f t="shared" si="17"/>
        <v>0.87813118306843729</v>
      </c>
    </row>
    <row r="27" spans="1:22" x14ac:dyDescent="0.25">
      <c r="A27" t="str">
        <f>Tabelle2!A18</f>
        <v xml:space="preserve"> Attack Drone </v>
      </c>
      <c r="B27">
        <f>Tabelle2!$N18+(B$11*Tabelle2!$O18)</f>
        <v>1600</v>
      </c>
      <c r="C27">
        <f>Tabelle2!$N18+(C$11*Tabelle2!$O18)</f>
        <v>1600</v>
      </c>
      <c r="D27">
        <f>Tabelle2!$N18+(D$11*Tabelle2!$O18)</f>
        <v>1600</v>
      </c>
      <c r="E27" s="21">
        <f t="shared" si="0"/>
        <v>0.95243374640980072</v>
      </c>
      <c r="F27" s="21">
        <f t="shared" si="1"/>
        <v>0.95243374640980072</v>
      </c>
      <c r="G27" s="21">
        <f t="shared" si="2"/>
        <v>0.95243374640980072</v>
      </c>
      <c r="H27" s="21">
        <f t="shared" si="3"/>
        <v>0.97592712146440563</v>
      </c>
      <c r="I27" s="21">
        <f t="shared" si="4"/>
        <v>0.97592712146440563</v>
      </c>
      <c r="J27" s="21">
        <f t="shared" si="5"/>
        <v>0.97592712146440563</v>
      </c>
      <c r="K27" s="21">
        <f t="shared" si="6"/>
        <v>0.98388632629744599</v>
      </c>
      <c r="L27" s="21">
        <f t="shared" si="7"/>
        <v>0.98388632629744599</v>
      </c>
      <c r="M27" s="21">
        <f t="shared" si="8"/>
        <v>0.98388632629744599</v>
      </c>
      <c r="N27" s="21">
        <f t="shared" si="9"/>
        <v>0.98789023755901428</v>
      </c>
      <c r="O27" s="21">
        <f t="shared" si="10"/>
        <v>0.98789023755901428</v>
      </c>
      <c r="P27" s="21">
        <f t="shared" si="11"/>
        <v>0.98789023755901428</v>
      </c>
      <c r="Q27" s="21">
        <f t="shared" si="12"/>
        <v>0.99030040113077478</v>
      </c>
      <c r="R27" s="21">
        <f t="shared" si="13"/>
        <v>0.99030040113077478</v>
      </c>
      <c r="S27" s="21">
        <f t="shared" si="14"/>
        <v>0.99030040113077478</v>
      </c>
      <c r="T27" s="21">
        <f t="shared" si="15"/>
        <v>0.99191044267990547</v>
      </c>
      <c r="U27" s="21">
        <f t="shared" si="16"/>
        <v>0.99191044267990547</v>
      </c>
      <c r="V27" s="21">
        <f t="shared" si="17"/>
        <v>0.99191044267990547</v>
      </c>
    </row>
    <row r="28" spans="1:22" x14ac:dyDescent="0.25">
      <c r="A28" t="str">
        <f>Tabelle2!A19</f>
        <v xml:space="preserve"> Attack Drone </v>
      </c>
      <c r="B28">
        <f>Tabelle2!$N19+(B$11*Tabelle2!$O19)</f>
        <v>1600</v>
      </c>
      <c r="C28">
        <f>Tabelle2!$N19+(C$11*Tabelle2!$O19)</f>
        <v>1600</v>
      </c>
      <c r="D28">
        <f>Tabelle2!$N19+(D$11*Tabelle2!$O19)</f>
        <v>1600</v>
      </c>
      <c r="E28" s="21">
        <f t="shared" si="0"/>
        <v>0.95243374640980072</v>
      </c>
      <c r="F28" s="21">
        <f t="shared" si="1"/>
        <v>0.95243374640980072</v>
      </c>
      <c r="G28" s="21">
        <f t="shared" si="2"/>
        <v>0.95243374640980072</v>
      </c>
      <c r="H28" s="21">
        <f t="shared" si="3"/>
        <v>0.97592712146440563</v>
      </c>
      <c r="I28" s="21">
        <f t="shared" si="4"/>
        <v>0.97592712146440563</v>
      </c>
      <c r="J28" s="21">
        <f t="shared" si="5"/>
        <v>0.97592712146440563</v>
      </c>
      <c r="K28" s="21">
        <f t="shared" si="6"/>
        <v>0.98388632629744599</v>
      </c>
      <c r="L28" s="21">
        <f t="shared" si="7"/>
        <v>0.98388632629744599</v>
      </c>
      <c r="M28" s="21">
        <f t="shared" si="8"/>
        <v>0.98388632629744599</v>
      </c>
      <c r="N28" s="21">
        <f t="shared" si="9"/>
        <v>0.98789023755901428</v>
      </c>
      <c r="O28" s="21">
        <f t="shared" si="10"/>
        <v>0.98789023755901428</v>
      </c>
      <c r="P28" s="21">
        <f t="shared" si="11"/>
        <v>0.98789023755901428</v>
      </c>
      <c r="Q28" s="21">
        <f t="shared" si="12"/>
        <v>0.99030040113077478</v>
      </c>
      <c r="R28" s="21">
        <f t="shared" si="13"/>
        <v>0.99030040113077478</v>
      </c>
      <c r="S28" s="21">
        <f t="shared" si="14"/>
        <v>0.99030040113077478</v>
      </c>
      <c r="T28" s="21">
        <f t="shared" si="15"/>
        <v>0.99191044267990547</v>
      </c>
      <c r="U28" s="21">
        <f t="shared" si="16"/>
        <v>0.99191044267990547</v>
      </c>
      <c r="V28" s="21">
        <f t="shared" si="17"/>
        <v>0.99191044267990547</v>
      </c>
    </row>
    <row r="29" spans="1:22" x14ac:dyDescent="0.25">
      <c r="A29" t="str">
        <f>Tabelle2!A20</f>
        <v xml:space="preserve"> Attack Drone </v>
      </c>
      <c r="B29">
        <f>Tabelle2!$N20+(B$11*Tabelle2!$O20)</f>
        <v>1600</v>
      </c>
      <c r="C29">
        <f>Tabelle2!$N20+(C$11*Tabelle2!$O20)</f>
        <v>1600</v>
      </c>
      <c r="D29">
        <f>Tabelle2!$N20+(D$11*Tabelle2!$O20)</f>
        <v>1600</v>
      </c>
      <c r="E29" s="21">
        <f t="shared" si="0"/>
        <v>0.95243374640980072</v>
      </c>
      <c r="F29" s="21">
        <f t="shared" si="1"/>
        <v>0.95243374640980072</v>
      </c>
      <c r="G29" s="21">
        <f t="shared" si="2"/>
        <v>0.95243374640980072</v>
      </c>
      <c r="H29" s="21">
        <f t="shared" si="3"/>
        <v>0.97592712146440563</v>
      </c>
      <c r="I29" s="21">
        <f t="shared" si="4"/>
        <v>0.97592712146440563</v>
      </c>
      <c r="J29" s="21">
        <f t="shared" si="5"/>
        <v>0.97592712146440563</v>
      </c>
      <c r="K29" s="21">
        <f t="shared" si="6"/>
        <v>0.98388632629744599</v>
      </c>
      <c r="L29" s="21">
        <f t="shared" si="7"/>
        <v>0.98388632629744599</v>
      </c>
      <c r="M29" s="21">
        <f t="shared" si="8"/>
        <v>0.98388632629744599</v>
      </c>
      <c r="N29" s="21">
        <f t="shared" si="9"/>
        <v>0.98789023755901428</v>
      </c>
      <c r="O29" s="21">
        <f t="shared" si="10"/>
        <v>0.98789023755901428</v>
      </c>
      <c r="P29" s="21">
        <f t="shared" si="11"/>
        <v>0.98789023755901428</v>
      </c>
      <c r="Q29" s="21">
        <f t="shared" si="12"/>
        <v>0.99030040113077478</v>
      </c>
      <c r="R29" s="21">
        <f t="shared" si="13"/>
        <v>0.99030040113077478</v>
      </c>
      <c r="S29" s="21">
        <f t="shared" si="14"/>
        <v>0.99030040113077478</v>
      </c>
      <c r="T29" s="21">
        <f t="shared" si="15"/>
        <v>0.99191044267990547</v>
      </c>
      <c r="U29" s="21">
        <f t="shared" si="16"/>
        <v>0.99191044267990547</v>
      </c>
      <c r="V29" s="21">
        <f t="shared" si="17"/>
        <v>0.99191044267990547</v>
      </c>
    </row>
    <row r="30" spans="1:22" x14ac:dyDescent="0.25">
      <c r="A30" t="str">
        <f>Tabelle2!A33</f>
        <v xml:space="preserve"> Baryonyx</v>
      </c>
      <c r="B30">
        <f>Tabelle2!$N33+(B$11*Tabelle2!$O33)</f>
        <v>2475</v>
      </c>
      <c r="C30">
        <f>Tabelle2!$N33+(C$11*Tabelle2!$O33)</f>
        <v>13500</v>
      </c>
      <c r="D30">
        <f>Tabelle2!$N33+(D$11*Tabelle2!$O33)</f>
        <v>36000</v>
      </c>
      <c r="E30" s="21">
        <f t="shared" si="0"/>
        <v>0.9273849470291804</v>
      </c>
      <c r="F30" s="21">
        <f t="shared" si="1"/>
        <v>0.66285481077973496</v>
      </c>
      <c r="G30" s="21">
        <f t="shared" si="2"/>
        <v>0.33402766187509492</v>
      </c>
      <c r="H30" s="21">
        <f t="shared" si="3"/>
        <v>0.96300827983417692</v>
      </c>
      <c r="I30" s="21">
        <f t="shared" si="4"/>
        <v>0.81415895915953351</v>
      </c>
      <c r="J30" s="21">
        <f t="shared" si="5"/>
        <v>0.57795126254304086</v>
      </c>
      <c r="K30" s="21">
        <f t="shared" si="6"/>
        <v>0.9751842551722173</v>
      </c>
      <c r="L30" s="21">
        <f t="shared" si="7"/>
        <v>0.87191229986424956</v>
      </c>
      <c r="M30" s="21">
        <f t="shared" si="8"/>
        <v>0.69384236099543783</v>
      </c>
      <c r="N30" s="21">
        <f t="shared" si="9"/>
        <v>0.98132985271730977</v>
      </c>
      <c r="O30" s="21">
        <f t="shared" si="10"/>
        <v>0.90230757458836264</v>
      </c>
      <c r="P30" s="21">
        <f t="shared" si="11"/>
        <v>0.76023105865456508</v>
      </c>
      <c r="Q30" s="21">
        <f t="shared" si="12"/>
        <v>0.98503578580358775</v>
      </c>
      <c r="R30" s="21">
        <f t="shared" si="13"/>
        <v>0.92105100871166823</v>
      </c>
      <c r="S30" s="21">
        <f t="shared" si="14"/>
        <v>0.80307570329807754</v>
      </c>
      <c r="T30" s="21">
        <f t="shared" si="15"/>
        <v>0.9875141797322291</v>
      </c>
      <c r="U30" s="21">
        <f t="shared" si="16"/>
        <v>0.93376244295015931</v>
      </c>
      <c r="V30" s="21">
        <f t="shared" si="17"/>
        <v>0.83297200492899992</v>
      </c>
    </row>
    <row r="31" spans="1:22" x14ac:dyDescent="0.25">
      <c r="A31" t="str">
        <f>Tabelle2!A34</f>
        <v xml:space="preserve"> Basilisk</v>
      </c>
      <c r="B31">
        <f>Tabelle2!$N34+(B$11*Tabelle2!$O34)</f>
        <v>2750</v>
      </c>
      <c r="C31">
        <f>Tabelle2!$N34+(C$11*Tabelle2!$O34)</f>
        <v>15000</v>
      </c>
      <c r="D31">
        <f>Tabelle2!$N34+(D$11*Tabelle2!$O34)</f>
        <v>40000</v>
      </c>
      <c r="E31" s="21">
        <f t="shared" si="0"/>
        <v>0.91964935212738663</v>
      </c>
      <c r="F31" s="21">
        <f t="shared" si="1"/>
        <v>0.63325118913678924</v>
      </c>
      <c r="G31" s="21">
        <f t="shared" si="2"/>
        <v>0.29571228739913263</v>
      </c>
      <c r="H31" s="21">
        <f t="shared" si="3"/>
        <v>0.95898349940308492</v>
      </c>
      <c r="I31" s="21">
        <f t="shared" si="4"/>
        <v>0.79577081445400422</v>
      </c>
      <c r="J31" s="21">
        <f t="shared" si="5"/>
        <v>0.54379434292674711</v>
      </c>
      <c r="K31" s="21">
        <f t="shared" si="6"/>
        <v>0.97246524667558931</v>
      </c>
      <c r="L31" s="21">
        <f t="shared" si="7"/>
        <v>0.8587340256999999</v>
      </c>
      <c r="M31" s="21">
        <f t="shared" si="8"/>
        <v>0.66622837190349271</v>
      </c>
      <c r="N31" s="21">
        <f t="shared" si="9"/>
        <v>0.97927702893669721</v>
      </c>
      <c r="O31" s="21">
        <f t="shared" si="10"/>
        <v>0.89205987156356503</v>
      </c>
      <c r="P31" s="21">
        <f t="shared" si="11"/>
        <v>0.7374241268949282</v>
      </c>
      <c r="Q31" s="21">
        <f t="shared" si="12"/>
        <v>0.9833869797597673</v>
      </c>
      <c r="R31" s="21">
        <f t="shared" si="13"/>
        <v>0.91267299999999996</v>
      </c>
      <c r="S31" s="21">
        <f t="shared" si="14"/>
        <v>0.78374335943769602</v>
      </c>
      <c r="T31" s="21">
        <f t="shared" si="15"/>
        <v>0.98613652537343388</v>
      </c>
      <c r="U31" s="21">
        <f t="shared" si="16"/>
        <v>0.92667903057099543</v>
      </c>
      <c r="V31" s="21">
        <f t="shared" si="17"/>
        <v>0.81622813716723386</v>
      </c>
    </row>
    <row r="32" spans="1:22" x14ac:dyDescent="0.25">
      <c r="A32" t="str">
        <f>Tabelle2!A35</f>
        <v xml:space="preserve"> Basilosaurus</v>
      </c>
      <c r="B32">
        <f>Tabelle2!$N35+(B$11*Tabelle2!$O35)</f>
        <v>8800</v>
      </c>
      <c r="C32">
        <f>Tabelle2!$N35+(C$11*Tabelle2!$O35)</f>
        <v>48000</v>
      </c>
      <c r="D32">
        <f>Tabelle2!$N35+(D$11*Tabelle2!$O35)</f>
        <v>128000</v>
      </c>
      <c r="E32" s="21">
        <f t="shared" si="0"/>
        <v>0.76487640074287355</v>
      </c>
      <c r="F32" s="21">
        <f t="shared" si="1"/>
        <v>0.2317625415532017</v>
      </c>
      <c r="G32" s="21">
        <f t="shared" si="2"/>
        <v>2.0266650871550874E-2</v>
      </c>
      <c r="H32" s="21">
        <f t="shared" si="3"/>
        <v>0.87457212438018717</v>
      </c>
      <c r="I32" s="21">
        <f t="shared" si="4"/>
        <v>0.48141722191172354</v>
      </c>
      <c r="J32" s="21">
        <f t="shared" si="5"/>
        <v>0.14236098788485163</v>
      </c>
      <c r="K32" s="21">
        <f t="shared" si="6"/>
        <v>0.91452816934698211</v>
      </c>
      <c r="L32" s="21">
        <f t="shared" si="7"/>
        <v>0.61425365346268557</v>
      </c>
      <c r="M32" s="21">
        <f t="shared" si="8"/>
        <v>0.27264277621463529</v>
      </c>
      <c r="N32" s="21">
        <f t="shared" si="9"/>
        <v>0.93518560958784391</v>
      </c>
      <c r="O32" s="21">
        <f t="shared" si="10"/>
        <v>0.69384236099543783</v>
      </c>
      <c r="P32" s="21">
        <f t="shared" si="11"/>
        <v>0.37730755079225703</v>
      </c>
      <c r="Q32" s="21">
        <f t="shared" si="12"/>
        <v>0.94780337822639815</v>
      </c>
      <c r="R32" s="21">
        <f t="shared" si="13"/>
        <v>0.74646362405304778</v>
      </c>
      <c r="S32" s="21">
        <f t="shared" si="14"/>
        <v>0.45851800825158107</v>
      </c>
      <c r="T32" s="21">
        <f t="shared" si="15"/>
        <v>0.95630966184964483</v>
      </c>
      <c r="U32" s="21">
        <f t="shared" si="16"/>
        <v>0.78374335943769602</v>
      </c>
      <c r="V32" s="21">
        <f t="shared" si="17"/>
        <v>0.5221520623483501</v>
      </c>
    </row>
    <row r="33" spans="1:22" x14ac:dyDescent="0.25">
      <c r="A33" t="str">
        <f>Tabelle2!A36</f>
        <v xml:space="preserve"> Beelzebufo</v>
      </c>
      <c r="B33">
        <f>Tabelle2!$N36+(B$11*Tabelle2!$O36)</f>
        <v>1650</v>
      </c>
      <c r="C33">
        <f>Tabelle2!$N36+(C$11*Tabelle2!$O36)</f>
        <v>9000</v>
      </c>
      <c r="D33">
        <f>Tabelle2!$N36+(D$11*Tabelle2!$O36)</f>
        <v>24000</v>
      </c>
      <c r="E33" s="21">
        <f t="shared" si="0"/>
        <v>0.9509843315357922</v>
      </c>
      <c r="F33" s="21">
        <f t="shared" si="1"/>
        <v>0.76023105865456508</v>
      </c>
      <c r="G33" s="21">
        <f t="shared" si="2"/>
        <v>0.48141722191172354</v>
      </c>
      <c r="H33" s="21">
        <f t="shared" si="3"/>
        <v>0.9751842551722173</v>
      </c>
      <c r="I33" s="21">
        <f t="shared" si="4"/>
        <v>0.87191229986424956</v>
      </c>
      <c r="J33" s="21">
        <f t="shared" si="5"/>
        <v>0.69384236099543783</v>
      </c>
      <c r="K33" s="21">
        <f t="shared" si="6"/>
        <v>0.9833869797597673</v>
      </c>
      <c r="L33" s="21">
        <f t="shared" si="7"/>
        <v>0.91267299999999996</v>
      </c>
      <c r="M33" s="21">
        <f t="shared" si="8"/>
        <v>0.78374335943769602</v>
      </c>
      <c r="N33" s="21">
        <f t="shared" si="9"/>
        <v>0.9875141797322291</v>
      </c>
      <c r="O33" s="21">
        <f t="shared" si="10"/>
        <v>0.93376244295015931</v>
      </c>
      <c r="P33" s="21">
        <f t="shared" si="11"/>
        <v>0.83297200492899992</v>
      </c>
      <c r="Q33" s="21">
        <f t="shared" si="12"/>
        <v>0.98999880941042806</v>
      </c>
      <c r="R33" s="21">
        <f t="shared" si="13"/>
        <v>0.94664930782047341</v>
      </c>
      <c r="S33" s="21">
        <f t="shared" si="14"/>
        <v>0.86398126371643491</v>
      </c>
      <c r="T33" s="21">
        <f t="shared" si="15"/>
        <v>0.99165870124744393</v>
      </c>
      <c r="U33" s="21">
        <f t="shared" si="16"/>
        <v>0.95533920677422213</v>
      </c>
      <c r="V33" s="21">
        <f t="shared" si="17"/>
        <v>0.88529280999999993</v>
      </c>
    </row>
    <row r="34" spans="1:22" x14ac:dyDescent="0.25">
      <c r="A34" t="str">
        <f>Tabelle2!A37</f>
        <v xml:space="preserve"> Beyla </v>
      </c>
      <c r="B34">
        <f>Tabelle2!$N37+(B$11*Tabelle2!$O37)</f>
        <v>1500</v>
      </c>
      <c r="C34">
        <f>Tabelle2!$N37+(C$11*Tabelle2!$O37)</f>
        <v>1500</v>
      </c>
      <c r="D34">
        <f>Tabelle2!$N37+(D$11*Tabelle2!$O37)</f>
        <v>1500</v>
      </c>
      <c r="E34" s="21">
        <f t="shared" si="0"/>
        <v>0.95533920677422213</v>
      </c>
      <c r="F34" s="21">
        <f t="shared" si="1"/>
        <v>0.95533920677422213</v>
      </c>
      <c r="G34" s="21">
        <f t="shared" si="2"/>
        <v>0.95533920677422213</v>
      </c>
      <c r="H34" s="21">
        <f t="shared" si="3"/>
        <v>0.97741455216004536</v>
      </c>
      <c r="I34" s="21">
        <f t="shared" si="4"/>
        <v>0.97741455216004536</v>
      </c>
      <c r="J34" s="21">
        <f t="shared" si="5"/>
        <v>0.97741455216004536</v>
      </c>
      <c r="K34" s="21">
        <f t="shared" si="6"/>
        <v>0.98488578017961048</v>
      </c>
      <c r="L34" s="21">
        <f t="shared" si="7"/>
        <v>0.98488578017961048</v>
      </c>
      <c r="M34" s="21">
        <f t="shared" si="8"/>
        <v>0.98488578017961048</v>
      </c>
      <c r="N34" s="21">
        <f t="shared" si="9"/>
        <v>0.98864278288977836</v>
      </c>
      <c r="O34" s="21">
        <f t="shared" si="10"/>
        <v>0.98864278288977836</v>
      </c>
      <c r="P34" s="21">
        <f t="shared" si="11"/>
        <v>0.98864278288977836</v>
      </c>
      <c r="Q34" s="21">
        <f t="shared" si="12"/>
        <v>0.99090386022877586</v>
      </c>
      <c r="R34" s="21">
        <f t="shared" si="13"/>
        <v>0.99090386022877586</v>
      </c>
      <c r="S34" s="21">
        <f t="shared" si="14"/>
        <v>0.99090386022877586</v>
      </c>
      <c r="T34" s="21">
        <f t="shared" si="15"/>
        <v>0.99241411728149576</v>
      </c>
      <c r="U34" s="21">
        <f t="shared" si="16"/>
        <v>0.99241411728149576</v>
      </c>
      <c r="V34" s="21">
        <f t="shared" si="17"/>
        <v>0.99241411728149576</v>
      </c>
    </row>
    <row r="35" spans="1:22" x14ac:dyDescent="0.25">
      <c r="A35" t="str">
        <f>Tabelle2!A38</f>
        <v xml:space="preserve"> Bison</v>
      </c>
      <c r="B35">
        <f>Tabelle2!$N38+(B$11*Tabelle2!$O38)</f>
        <v>3575</v>
      </c>
      <c r="C35">
        <f>Tabelle2!$N38+(C$11*Tabelle2!$O38)</f>
        <v>19500</v>
      </c>
      <c r="D35">
        <f>Tabelle2!$N38+(D$11*Tabelle2!$O38)</f>
        <v>52000</v>
      </c>
      <c r="E35" s="21">
        <f t="shared" si="0"/>
        <v>0.89682756847395773</v>
      </c>
      <c r="F35" s="21">
        <f t="shared" si="1"/>
        <v>0.55213950071202866</v>
      </c>
      <c r="G35" s="21">
        <f t="shared" si="2"/>
        <v>0.20517771166437568</v>
      </c>
      <c r="H35" s="21">
        <f t="shared" si="3"/>
        <v>0.94700980378978006</v>
      </c>
      <c r="I35" s="21">
        <f t="shared" si="4"/>
        <v>0.74306089973300893</v>
      </c>
      <c r="J35" s="21">
        <f t="shared" si="5"/>
        <v>0.45296546409674071</v>
      </c>
      <c r="K35" s="21">
        <f t="shared" si="6"/>
        <v>0.96435362352659015</v>
      </c>
      <c r="L35" s="21">
        <f t="shared" si="7"/>
        <v>0.82038228294227233</v>
      </c>
      <c r="M35" s="21">
        <f t="shared" si="8"/>
        <v>0.58980718746416805</v>
      </c>
      <c r="N35" s="21">
        <f t="shared" si="9"/>
        <v>0.97314428724099289</v>
      </c>
      <c r="O35" s="21">
        <f t="shared" si="10"/>
        <v>0.86200980257361859</v>
      </c>
      <c r="P35" s="21">
        <f t="shared" si="11"/>
        <v>0.67302709016557472</v>
      </c>
      <c r="Q35" s="21">
        <f t="shared" si="12"/>
        <v>0.97845710232070893</v>
      </c>
      <c r="R35" s="21">
        <f t="shared" si="13"/>
        <v>0.88799345262218554</v>
      </c>
      <c r="S35" s="21">
        <f t="shared" si="14"/>
        <v>0.72849409589997915</v>
      </c>
      <c r="T35" s="21">
        <f t="shared" si="15"/>
        <v>0.98201508314617558</v>
      </c>
      <c r="U35" s="21">
        <f t="shared" si="16"/>
        <v>0.90574956966165454</v>
      </c>
      <c r="V35" s="21">
        <f t="shared" si="17"/>
        <v>0.76798905426065034</v>
      </c>
    </row>
    <row r="36" spans="1:22" x14ac:dyDescent="0.25">
      <c r="A36" t="str">
        <f>Tabelle2!A39</f>
        <v xml:space="preserve"> Bloodstalker</v>
      </c>
      <c r="B36">
        <f>Tabelle2!$N39+(B$11*Tabelle2!$O39)</f>
        <v>1320</v>
      </c>
      <c r="C36">
        <f>Tabelle2!$N39+(C$11*Tabelle2!$O39)</f>
        <v>7200</v>
      </c>
      <c r="D36">
        <f>Tabelle2!$N39+(D$11*Tabelle2!$O39)</f>
        <v>19200</v>
      </c>
      <c r="E36" s="21">
        <f t="shared" si="0"/>
        <v>0.96059138909685149</v>
      </c>
      <c r="F36" s="21">
        <f t="shared" si="1"/>
        <v>0.80307570329807754</v>
      </c>
      <c r="G36" s="21">
        <f t="shared" si="2"/>
        <v>0.55720794203440982</v>
      </c>
      <c r="H36" s="21">
        <f t="shared" si="3"/>
        <v>0.98009764263406507</v>
      </c>
      <c r="I36" s="21">
        <f t="shared" si="4"/>
        <v>0.89614491199698143</v>
      </c>
      <c r="J36" s="21">
        <f t="shared" si="5"/>
        <v>0.74646362405304778</v>
      </c>
      <c r="K36" s="21">
        <f t="shared" si="6"/>
        <v>0.98668735633527116</v>
      </c>
      <c r="L36" s="21">
        <f t="shared" si="7"/>
        <v>0.92950592451927649</v>
      </c>
      <c r="M36" s="21">
        <f t="shared" si="8"/>
        <v>0.82288491182931811</v>
      </c>
      <c r="N36" s="21">
        <f t="shared" si="9"/>
        <v>0.98999880941042806</v>
      </c>
      <c r="O36" s="21">
        <f t="shared" si="10"/>
        <v>0.94664930782047341</v>
      </c>
      <c r="P36" s="21">
        <f t="shared" si="11"/>
        <v>0.86398126371643491</v>
      </c>
      <c r="Q36" s="21">
        <f t="shared" si="12"/>
        <v>0.9919910134346358</v>
      </c>
      <c r="R36" s="21">
        <f t="shared" si="13"/>
        <v>0.95708673564521296</v>
      </c>
      <c r="S36" s="21">
        <f t="shared" si="14"/>
        <v>0.88961779106104</v>
      </c>
      <c r="T36" s="21">
        <f t="shared" si="15"/>
        <v>0.99332137615943372</v>
      </c>
      <c r="U36" s="21">
        <f t="shared" si="16"/>
        <v>0.9641088758637566</v>
      </c>
      <c r="V36" s="21">
        <f t="shared" si="17"/>
        <v>0.90713004130020858</v>
      </c>
    </row>
    <row r="37" spans="1:22" x14ac:dyDescent="0.25">
      <c r="A37" t="str">
        <f>Tabelle2!A40</f>
        <v xml:space="preserve"> Brontosaurus</v>
      </c>
      <c r="B37">
        <f>Tabelle2!$N40+(B$11*Tabelle2!$O40)</f>
        <v>11000</v>
      </c>
      <c r="C37">
        <f>Tabelle2!$N40+(C$11*Tabelle2!$O40)</f>
        <v>60000</v>
      </c>
      <c r="D37">
        <f>Tabelle2!$N40+(D$11*Tabelle2!$O40)</f>
        <v>160000</v>
      </c>
      <c r="E37" s="21">
        <f t="shared" si="0"/>
        <v>0.71530140308808032</v>
      </c>
      <c r="F37" s="21">
        <f t="shared" si="1"/>
        <v>0.16080666902157673</v>
      </c>
      <c r="G37" s="21">
        <f t="shared" si="2"/>
        <v>7.6467604031066217E-3</v>
      </c>
      <c r="H37" s="21">
        <f t="shared" si="3"/>
        <v>0.84575493086832199</v>
      </c>
      <c r="I37" s="21">
        <f t="shared" si="4"/>
        <v>0.4010070685431576</v>
      </c>
      <c r="J37" s="21">
        <f t="shared" si="5"/>
        <v>8.7445756918827236E-2</v>
      </c>
      <c r="K37" s="21">
        <f t="shared" si="6"/>
        <v>0.89432703407160496</v>
      </c>
      <c r="L37" s="21">
        <f t="shared" si="7"/>
        <v>0.54379434292674711</v>
      </c>
      <c r="M37" s="21">
        <f t="shared" si="8"/>
        <v>0.19701191578578173</v>
      </c>
      <c r="N37" s="21">
        <f t="shared" si="9"/>
        <v>0.91964935212738663</v>
      </c>
      <c r="O37" s="21">
        <f t="shared" si="10"/>
        <v>0.63325118913678924</v>
      </c>
      <c r="P37" s="21">
        <f t="shared" si="11"/>
        <v>0.29571228739913263</v>
      </c>
      <c r="Q37" s="21">
        <f t="shared" si="12"/>
        <v>0.93518560958784391</v>
      </c>
      <c r="R37" s="21">
        <f t="shared" si="13"/>
        <v>0.69384236099543783</v>
      </c>
      <c r="S37" s="21">
        <f t="shared" si="14"/>
        <v>0.37730755079225703</v>
      </c>
      <c r="T37" s="21">
        <f t="shared" si="15"/>
        <v>0.94568865599181473</v>
      </c>
      <c r="U37" s="21">
        <f t="shared" si="16"/>
        <v>0.7374241268949282</v>
      </c>
      <c r="V37" s="21">
        <f t="shared" si="17"/>
        <v>0.44386024352917858</v>
      </c>
    </row>
    <row r="38" spans="1:22" x14ac:dyDescent="0.25">
      <c r="A38" t="str">
        <f>Tabelle2!A41</f>
        <v xml:space="preserve"> Broodmother Lysrix </v>
      </c>
      <c r="B38">
        <f>Tabelle2!$N41+(B$11*Tabelle2!$O41)</f>
        <v>1500</v>
      </c>
      <c r="C38">
        <f>Tabelle2!$N41+(C$11*Tabelle2!$O41)</f>
        <v>1500</v>
      </c>
      <c r="D38">
        <f>Tabelle2!$N41+(D$11*Tabelle2!$O41)</f>
        <v>1500</v>
      </c>
      <c r="E38" s="21">
        <f t="shared" si="0"/>
        <v>0.95533920677422213</v>
      </c>
      <c r="F38" s="21">
        <f t="shared" si="1"/>
        <v>0.95533920677422213</v>
      </c>
      <c r="G38" s="21">
        <f t="shared" si="2"/>
        <v>0.95533920677422213</v>
      </c>
      <c r="H38" s="21">
        <f t="shared" si="3"/>
        <v>0.97741455216004536</v>
      </c>
      <c r="I38" s="21">
        <f t="shared" si="4"/>
        <v>0.97741455216004536</v>
      </c>
      <c r="J38" s="21">
        <f t="shared" si="5"/>
        <v>0.97741455216004536</v>
      </c>
      <c r="K38" s="21">
        <f t="shared" si="6"/>
        <v>0.98488578017961048</v>
      </c>
      <c r="L38" s="21">
        <f t="shared" si="7"/>
        <v>0.98488578017961048</v>
      </c>
      <c r="M38" s="21">
        <f t="shared" si="8"/>
        <v>0.98488578017961048</v>
      </c>
      <c r="N38" s="21">
        <f t="shared" si="9"/>
        <v>0.98864278288977836</v>
      </c>
      <c r="O38" s="21">
        <f t="shared" si="10"/>
        <v>0.98864278288977836</v>
      </c>
      <c r="P38" s="21">
        <f t="shared" si="11"/>
        <v>0.98864278288977836</v>
      </c>
      <c r="Q38" s="21">
        <f t="shared" si="12"/>
        <v>0.99090386022877586</v>
      </c>
      <c r="R38" s="21">
        <f t="shared" si="13"/>
        <v>0.99090386022877586</v>
      </c>
      <c r="S38" s="21">
        <f t="shared" si="14"/>
        <v>0.99090386022877586</v>
      </c>
      <c r="T38" s="21">
        <f t="shared" si="15"/>
        <v>0.99241411728149576</v>
      </c>
      <c r="U38" s="21">
        <f t="shared" si="16"/>
        <v>0.99241411728149576</v>
      </c>
      <c r="V38" s="21">
        <f t="shared" si="17"/>
        <v>0.99241411728149576</v>
      </c>
    </row>
    <row r="39" spans="1:22" x14ac:dyDescent="0.25">
      <c r="A39" t="str">
        <f>Tabelle2!A42</f>
        <v xml:space="preserve"> Broodmother Lysrix </v>
      </c>
      <c r="B39">
        <f>Tabelle2!$N42+(B$11*Tabelle2!$O42)</f>
        <v>1500</v>
      </c>
      <c r="C39">
        <f>Tabelle2!$N42+(C$11*Tabelle2!$O42)</f>
        <v>1500</v>
      </c>
      <c r="D39">
        <f>Tabelle2!$N42+(D$11*Tabelle2!$O42)</f>
        <v>1500</v>
      </c>
      <c r="E39" s="21">
        <f t="shared" si="0"/>
        <v>0.95533920677422213</v>
      </c>
      <c r="F39" s="21">
        <f t="shared" si="1"/>
        <v>0.95533920677422213</v>
      </c>
      <c r="G39" s="21">
        <f t="shared" si="2"/>
        <v>0.95533920677422213</v>
      </c>
      <c r="H39" s="21">
        <f t="shared" si="3"/>
        <v>0.97741455216004536</v>
      </c>
      <c r="I39" s="21">
        <f t="shared" si="4"/>
        <v>0.97741455216004536</v>
      </c>
      <c r="J39" s="21">
        <f t="shared" si="5"/>
        <v>0.97741455216004536</v>
      </c>
      <c r="K39" s="21">
        <f t="shared" si="6"/>
        <v>0.98488578017961048</v>
      </c>
      <c r="L39" s="21">
        <f t="shared" si="7"/>
        <v>0.98488578017961048</v>
      </c>
      <c r="M39" s="21">
        <f t="shared" si="8"/>
        <v>0.98488578017961048</v>
      </c>
      <c r="N39" s="21">
        <f t="shared" si="9"/>
        <v>0.98864278288977836</v>
      </c>
      <c r="O39" s="21">
        <f t="shared" si="10"/>
        <v>0.98864278288977836</v>
      </c>
      <c r="P39" s="21">
        <f t="shared" si="11"/>
        <v>0.98864278288977836</v>
      </c>
      <c r="Q39" s="21">
        <f t="shared" si="12"/>
        <v>0.99090386022877586</v>
      </c>
      <c r="R39" s="21">
        <f t="shared" si="13"/>
        <v>0.99090386022877586</v>
      </c>
      <c r="S39" s="21">
        <f t="shared" si="14"/>
        <v>0.99090386022877586</v>
      </c>
      <c r="T39" s="21">
        <f t="shared" si="15"/>
        <v>0.99241411728149576</v>
      </c>
      <c r="U39" s="21">
        <f t="shared" si="16"/>
        <v>0.99241411728149576</v>
      </c>
      <c r="V39" s="21">
        <f t="shared" si="17"/>
        <v>0.99241411728149576</v>
      </c>
    </row>
    <row r="40" spans="1:22" x14ac:dyDescent="0.25">
      <c r="A40" t="str">
        <f>Tabelle2!A43</f>
        <v xml:space="preserve"> Broodmother Lysrix </v>
      </c>
      <c r="B40">
        <f>Tabelle2!$N43+(B$11*Tabelle2!$O43)</f>
        <v>1500</v>
      </c>
      <c r="C40">
        <f>Tabelle2!$N43+(C$11*Tabelle2!$O43)</f>
        <v>1500</v>
      </c>
      <c r="D40">
        <f>Tabelle2!$N43+(D$11*Tabelle2!$O43)</f>
        <v>1500</v>
      </c>
      <c r="E40" s="21">
        <f t="shared" si="0"/>
        <v>0.95533920677422213</v>
      </c>
      <c r="F40" s="21">
        <f t="shared" si="1"/>
        <v>0.95533920677422213</v>
      </c>
      <c r="G40" s="21">
        <f t="shared" si="2"/>
        <v>0.95533920677422213</v>
      </c>
      <c r="H40" s="21">
        <f t="shared" si="3"/>
        <v>0.97741455216004536</v>
      </c>
      <c r="I40" s="21">
        <f t="shared" si="4"/>
        <v>0.97741455216004536</v>
      </c>
      <c r="J40" s="21">
        <f t="shared" si="5"/>
        <v>0.97741455216004536</v>
      </c>
      <c r="K40" s="21">
        <f t="shared" si="6"/>
        <v>0.98488578017961048</v>
      </c>
      <c r="L40" s="21">
        <f t="shared" si="7"/>
        <v>0.98488578017961048</v>
      </c>
      <c r="M40" s="21">
        <f t="shared" si="8"/>
        <v>0.98488578017961048</v>
      </c>
      <c r="N40" s="21">
        <f t="shared" si="9"/>
        <v>0.98864278288977836</v>
      </c>
      <c r="O40" s="21">
        <f t="shared" si="10"/>
        <v>0.98864278288977836</v>
      </c>
      <c r="P40" s="21">
        <f t="shared" si="11"/>
        <v>0.98864278288977836</v>
      </c>
      <c r="Q40" s="21">
        <f t="shared" si="12"/>
        <v>0.99090386022877586</v>
      </c>
      <c r="R40" s="21">
        <f t="shared" si="13"/>
        <v>0.99090386022877586</v>
      </c>
      <c r="S40" s="21">
        <f t="shared" si="14"/>
        <v>0.99090386022877586</v>
      </c>
      <c r="T40" s="21">
        <f t="shared" si="15"/>
        <v>0.99241411728149576</v>
      </c>
      <c r="U40" s="21">
        <f t="shared" si="16"/>
        <v>0.99241411728149576</v>
      </c>
      <c r="V40" s="21">
        <f t="shared" si="17"/>
        <v>0.99241411728149576</v>
      </c>
    </row>
    <row r="41" spans="1:22" x14ac:dyDescent="0.25">
      <c r="A41" t="str">
        <f>Tabelle2!A44</f>
        <v xml:space="preserve"> Broodmother Lysrix </v>
      </c>
      <c r="B41">
        <f>Tabelle2!$N44+(B$11*Tabelle2!$O44)</f>
        <v>1500</v>
      </c>
      <c r="C41">
        <f>Tabelle2!$N44+(C$11*Tabelle2!$O44)</f>
        <v>1500</v>
      </c>
      <c r="D41">
        <f>Tabelle2!$N44+(D$11*Tabelle2!$O44)</f>
        <v>1500</v>
      </c>
      <c r="E41" s="21">
        <f t="shared" si="0"/>
        <v>0.95533920677422213</v>
      </c>
      <c r="F41" s="21">
        <f t="shared" si="1"/>
        <v>0.95533920677422213</v>
      </c>
      <c r="G41" s="21">
        <f t="shared" si="2"/>
        <v>0.95533920677422213</v>
      </c>
      <c r="H41" s="21">
        <f t="shared" si="3"/>
        <v>0.97741455216004536</v>
      </c>
      <c r="I41" s="21">
        <f t="shared" si="4"/>
        <v>0.97741455216004536</v>
      </c>
      <c r="J41" s="21">
        <f t="shared" si="5"/>
        <v>0.97741455216004536</v>
      </c>
      <c r="K41" s="21">
        <f t="shared" si="6"/>
        <v>0.98488578017961048</v>
      </c>
      <c r="L41" s="21">
        <f t="shared" si="7"/>
        <v>0.98488578017961048</v>
      </c>
      <c r="M41" s="21">
        <f t="shared" si="8"/>
        <v>0.98488578017961048</v>
      </c>
      <c r="N41" s="21">
        <f t="shared" si="9"/>
        <v>0.98864278288977836</v>
      </c>
      <c r="O41" s="21">
        <f t="shared" si="10"/>
        <v>0.98864278288977836</v>
      </c>
      <c r="P41" s="21">
        <f t="shared" si="11"/>
        <v>0.98864278288977836</v>
      </c>
      <c r="Q41" s="21">
        <f t="shared" si="12"/>
        <v>0.99090386022877586</v>
      </c>
      <c r="R41" s="21">
        <f t="shared" si="13"/>
        <v>0.99090386022877586</v>
      </c>
      <c r="S41" s="21">
        <f t="shared" si="14"/>
        <v>0.99090386022877586</v>
      </c>
      <c r="T41" s="21">
        <f t="shared" si="15"/>
        <v>0.99241411728149576</v>
      </c>
      <c r="U41" s="21">
        <f t="shared" si="16"/>
        <v>0.99241411728149576</v>
      </c>
      <c r="V41" s="21">
        <f t="shared" si="17"/>
        <v>0.99241411728149576</v>
      </c>
    </row>
    <row r="42" spans="1:22" x14ac:dyDescent="0.25">
      <c r="A42" t="str">
        <f>Tabelle2!A45</f>
        <v xml:space="preserve"> Broodmother Lysrix </v>
      </c>
      <c r="B42">
        <f>Tabelle2!$N45+(B$11*Tabelle2!$O45)</f>
        <v>1500</v>
      </c>
      <c r="C42">
        <f>Tabelle2!$N45+(C$11*Tabelle2!$O45)</f>
        <v>1500</v>
      </c>
      <c r="D42">
        <f>Tabelle2!$N45+(D$11*Tabelle2!$O45)</f>
        <v>1500</v>
      </c>
      <c r="E42" s="21">
        <f t="shared" si="0"/>
        <v>0.95533920677422213</v>
      </c>
      <c r="F42" s="21">
        <f t="shared" si="1"/>
        <v>0.95533920677422213</v>
      </c>
      <c r="G42" s="21">
        <f t="shared" si="2"/>
        <v>0.95533920677422213</v>
      </c>
      <c r="H42" s="21">
        <f t="shared" si="3"/>
        <v>0.97741455216004536</v>
      </c>
      <c r="I42" s="21">
        <f t="shared" si="4"/>
        <v>0.97741455216004536</v>
      </c>
      <c r="J42" s="21">
        <f t="shared" si="5"/>
        <v>0.97741455216004536</v>
      </c>
      <c r="K42" s="21">
        <f t="shared" si="6"/>
        <v>0.98488578017961048</v>
      </c>
      <c r="L42" s="21">
        <f t="shared" si="7"/>
        <v>0.98488578017961048</v>
      </c>
      <c r="M42" s="21">
        <f t="shared" si="8"/>
        <v>0.98488578017961048</v>
      </c>
      <c r="N42" s="21">
        <f t="shared" si="9"/>
        <v>0.98864278288977836</v>
      </c>
      <c r="O42" s="21">
        <f t="shared" si="10"/>
        <v>0.98864278288977836</v>
      </c>
      <c r="P42" s="21">
        <f t="shared" si="11"/>
        <v>0.98864278288977836</v>
      </c>
      <c r="Q42" s="21">
        <f t="shared" si="12"/>
        <v>0.99090386022877586</v>
      </c>
      <c r="R42" s="21">
        <f t="shared" si="13"/>
        <v>0.99090386022877586</v>
      </c>
      <c r="S42" s="21">
        <f t="shared" si="14"/>
        <v>0.99090386022877586</v>
      </c>
      <c r="T42" s="21">
        <f t="shared" si="15"/>
        <v>0.99241411728149576</v>
      </c>
      <c r="U42" s="21">
        <f t="shared" si="16"/>
        <v>0.99241411728149576</v>
      </c>
      <c r="V42" s="21">
        <f t="shared" si="17"/>
        <v>0.99241411728149576</v>
      </c>
    </row>
    <row r="43" spans="1:22" x14ac:dyDescent="0.25">
      <c r="A43" t="str">
        <f>Tabelle2!A46</f>
        <v xml:space="preserve"> Broodmother Lysrix </v>
      </c>
      <c r="B43">
        <f>Tabelle2!$N46+(B$11*Tabelle2!$O46)</f>
        <v>1500</v>
      </c>
      <c r="C43">
        <f>Tabelle2!$N46+(C$11*Tabelle2!$O46)</f>
        <v>1500</v>
      </c>
      <c r="D43">
        <f>Tabelle2!$N46+(D$11*Tabelle2!$O46)</f>
        <v>1500</v>
      </c>
      <c r="E43" s="21">
        <f t="shared" si="0"/>
        <v>0.95533920677422213</v>
      </c>
      <c r="F43" s="21">
        <f t="shared" si="1"/>
        <v>0.95533920677422213</v>
      </c>
      <c r="G43" s="21">
        <f t="shared" si="2"/>
        <v>0.95533920677422213</v>
      </c>
      <c r="H43" s="21">
        <f t="shared" si="3"/>
        <v>0.97741455216004536</v>
      </c>
      <c r="I43" s="21">
        <f t="shared" si="4"/>
        <v>0.97741455216004536</v>
      </c>
      <c r="J43" s="21">
        <f t="shared" si="5"/>
        <v>0.97741455216004536</v>
      </c>
      <c r="K43" s="21">
        <f t="shared" si="6"/>
        <v>0.98488578017961048</v>
      </c>
      <c r="L43" s="21">
        <f t="shared" si="7"/>
        <v>0.98488578017961048</v>
      </c>
      <c r="M43" s="21">
        <f t="shared" si="8"/>
        <v>0.98488578017961048</v>
      </c>
      <c r="N43" s="21">
        <f t="shared" si="9"/>
        <v>0.98864278288977836</v>
      </c>
      <c r="O43" s="21">
        <f t="shared" si="10"/>
        <v>0.98864278288977836</v>
      </c>
      <c r="P43" s="21">
        <f t="shared" si="11"/>
        <v>0.98864278288977836</v>
      </c>
      <c r="Q43" s="21">
        <f t="shared" si="12"/>
        <v>0.99090386022877586</v>
      </c>
      <c r="R43" s="21">
        <f t="shared" si="13"/>
        <v>0.99090386022877586</v>
      </c>
      <c r="S43" s="21">
        <f t="shared" si="14"/>
        <v>0.99090386022877586</v>
      </c>
      <c r="T43" s="21">
        <f t="shared" si="15"/>
        <v>0.99241411728149576</v>
      </c>
      <c r="U43" s="21">
        <f t="shared" si="16"/>
        <v>0.99241411728149576</v>
      </c>
      <c r="V43" s="21">
        <f t="shared" si="17"/>
        <v>0.99241411728149576</v>
      </c>
    </row>
    <row r="44" spans="1:22" x14ac:dyDescent="0.25">
      <c r="A44" t="str">
        <f>Tabelle2!A47</f>
        <v xml:space="preserve"> Bulbdog</v>
      </c>
      <c r="B44">
        <f>Tabelle2!$N47+(B$11*Tabelle2!$O47)</f>
        <v>495</v>
      </c>
      <c r="C44">
        <f>Tabelle2!$N47+(C$11*Tabelle2!$O47)</f>
        <v>2700</v>
      </c>
      <c r="D44">
        <f>Tabelle2!$N47+(D$11*Tabelle2!$O47)</f>
        <v>7200</v>
      </c>
      <c r="E44" s="21">
        <f t="shared" si="0"/>
        <v>0.98503578580358775</v>
      </c>
      <c r="F44" s="21">
        <f t="shared" si="1"/>
        <v>0.92105100871166823</v>
      </c>
      <c r="G44" s="21">
        <f t="shared" si="2"/>
        <v>0.80307570329807754</v>
      </c>
      <c r="H44" s="21">
        <f t="shared" si="3"/>
        <v>0.99248969052760827</v>
      </c>
      <c r="I44" s="21">
        <f t="shared" si="4"/>
        <v>0.9597140244425254</v>
      </c>
      <c r="J44" s="21">
        <f t="shared" si="5"/>
        <v>0.89614491199698143</v>
      </c>
      <c r="K44" s="21">
        <f t="shared" si="6"/>
        <v>0.99498683881266892</v>
      </c>
      <c r="L44" s="21">
        <f t="shared" si="7"/>
        <v>0.9729590473501305</v>
      </c>
      <c r="M44" s="21">
        <f t="shared" si="8"/>
        <v>0.92950592451927649</v>
      </c>
      <c r="N44" s="21">
        <f t="shared" si="9"/>
        <v>0.99623776806925379</v>
      </c>
      <c r="O44" s="21">
        <f t="shared" si="10"/>
        <v>0.97964994995280097</v>
      </c>
      <c r="P44" s="21">
        <f t="shared" si="11"/>
        <v>0.94664930782047341</v>
      </c>
      <c r="Q44" s="21">
        <f t="shared" si="12"/>
        <v>0.99698908039667333</v>
      </c>
      <c r="R44" s="21">
        <f t="shared" si="13"/>
        <v>0.98368655726246035</v>
      </c>
      <c r="S44" s="21">
        <f t="shared" si="14"/>
        <v>0.95708673564521296</v>
      </c>
      <c r="T44" s="21">
        <f t="shared" si="15"/>
        <v>0.99749027003408353</v>
      </c>
      <c r="U44" s="21">
        <f t="shared" si="16"/>
        <v>0.98638686495214978</v>
      </c>
      <c r="V44" s="21">
        <f t="shared" si="17"/>
        <v>0.9641088758637566</v>
      </c>
    </row>
    <row r="45" spans="1:22" x14ac:dyDescent="0.25">
      <c r="A45" t="str">
        <f>Tabelle2!A48</f>
        <v xml:space="preserve"> Carbonemys</v>
      </c>
      <c r="B45">
        <f>Tabelle2!$N48+(B$11*Tabelle2!$O48)</f>
        <v>3300</v>
      </c>
      <c r="C45">
        <f>Tabelle2!$N48+(C$11*Tabelle2!$O48)</f>
        <v>18000</v>
      </c>
      <c r="D45">
        <f>Tabelle2!$N48+(D$11*Tabelle2!$O48)</f>
        <v>48000</v>
      </c>
      <c r="E45" s="21">
        <f t="shared" si="0"/>
        <v>0.90437119882657746</v>
      </c>
      <c r="F45" s="21">
        <f t="shared" si="1"/>
        <v>0.57795126254304086</v>
      </c>
      <c r="G45" s="21">
        <f t="shared" si="2"/>
        <v>0.2317625415532017</v>
      </c>
      <c r="H45" s="21">
        <f t="shared" si="3"/>
        <v>0.9509843315357922</v>
      </c>
      <c r="I45" s="21">
        <f t="shared" si="4"/>
        <v>0.76023105865456508</v>
      </c>
      <c r="J45" s="21">
        <f t="shared" si="5"/>
        <v>0.48141722191172354</v>
      </c>
      <c r="K45" s="21">
        <f t="shared" si="6"/>
        <v>0.96704995196103694</v>
      </c>
      <c r="L45" s="21">
        <f t="shared" si="7"/>
        <v>0.83297200492899992</v>
      </c>
      <c r="M45" s="21">
        <f t="shared" si="8"/>
        <v>0.61425365346268557</v>
      </c>
      <c r="N45" s="21">
        <f t="shared" si="9"/>
        <v>0.9751842551722173</v>
      </c>
      <c r="O45" s="21">
        <f t="shared" si="10"/>
        <v>0.87191229986424956</v>
      </c>
      <c r="P45" s="21">
        <f t="shared" si="11"/>
        <v>0.69384236099543783</v>
      </c>
      <c r="Q45" s="21">
        <f t="shared" si="12"/>
        <v>0.98009764263406507</v>
      </c>
      <c r="R45" s="21">
        <f t="shared" si="13"/>
        <v>0.89614491199698143</v>
      </c>
      <c r="S45" s="21">
        <f t="shared" si="14"/>
        <v>0.74646362405304778</v>
      </c>
      <c r="T45" s="21">
        <f t="shared" si="15"/>
        <v>0.9833869797597673</v>
      </c>
      <c r="U45" s="21">
        <f t="shared" si="16"/>
        <v>0.91267299999999996</v>
      </c>
      <c r="V45" s="21">
        <f t="shared" si="17"/>
        <v>0.78374335943769602</v>
      </c>
    </row>
    <row r="46" spans="1:22" x14ac:dyDescent="0.25">
      <c r="A46" t="str">
        <f>Tabelle2!A49</f>
        <v xml:space="preserve"> Carcharodontosaurus</v>
      </c>
      <c r="B46">
        <f>Tabelle2!$N49+(B$11*Tabelle2!$O49)</f>
        <v>4010</v>
      </c>
      <c r="C46">
        <f>Tabelle2!$N49+(C$11*Tabelle2!$O49)</f>
        <v>4500</v>
      </c>
      <c r="D46">
        <f>Tabelle2!$N49+(D$11*Tabelle2!$O49)</f>
        <v>5500</v>
      </c>
      <c r="E46" s="21">
        <f t="shared" si="0"/>
        <v>0.88502319788909545</v>
      </c>
      <c r="F46" s="21">
        <f t="shared" si="1"/>
        <v>0.87191229986424956</v>
      </c>
      <c r="G46" s="21">
        <f t="shared" si="2"/>
        <v>0.84575493086832199</v>
      </c>
      <c r="H46" s="21">
        <f t="shared" si="3"/>
        <v>0.94075671556949059</v>
      </c>
      <c r="I46" s="21">
        <f t="shared" si="4"/>
        <v>0.93376244295015931</v>
      </c>
      <c r="J46" s="21">
        <f t="shared" si="5"/>
        <v>0.91964935212738663</v>
      </c>
      <c r="K46" s="21">
        <f t="shared" si="6"/>
        <v>0.96010386531341341</v>
      </c>
      <c r="L46" s="21">
        <f t="shared" si="7"/>
        <v>0.95533920677422213</v>
      </c>
      <c r="M46" s="21">
        <f t="shared" si="8"/>
        <v>0.94568865599181473</v>
      </c>
      <c r="N46" s="21">
        <f t="shared" si="9"/>
        <v>0.96992613923406079</v>
      </c>
      <c r="O46" s="21">
        <f t="shared" si="10"/>
        <v>0.96631384288447375</v>
      </c>
      <c r="P46" s="21">
        <f t="shared" si="11"/>
        <v>0.95898349940308492</v>
      </c>
      <c r="Q46" s="21">
        <f t="shared" si="12"/>
        <v>0.97586767134186236</v>
      </c>
      <c r="R46" s="21">
        <f t="shared" si="13"/>
        <v>0.9729590473501305</v>
      </c>
      <c r="S46" s="21">
        <f t="shared" si="14"/>
        <v>0.96704995196103694</v>
      </c>
      <c r="T46" s="21">
        <f t="shared" si="15"/>
        <v>0.97984889922549456</v>
      </c>
      <c r="U46" s="21">
        <f t="shared" si="16"/>
        <v>0.97741455216004536</v>
      </c>
      <c r="V46" s="21">
        <f t="shared" si="17"/>
        <v>0.97246524667558931</v>
      </c>
    </row>
    <row r="47" spans="1:22" x14ac:dyDescent="0.25">
      <c r="A47" t="str">
        <f>Tabelle2!A50</f>
        <v xml:space="preserve"> Carnotaurus</v>
      </c>
      <c r="B47">
        <f>Tabelle2!$N50+(B$11*Tabelle2!$O50)</f>
        <v>2200</v>
      </c>
      <c r="C47">
        <f>Tabelle2!$N50+(C$11*Tabelle2!$O50)</f>
        <v>12000</v>
      </c>
      <c r="D47">
        <f>Tabelle2!$N50+(D$11*Tabelle2!$O50)</f>
        <v>32000</v>
      </c>
      <c r="E47" s="21">
        <f t="shared" si="0"/>
        <v>0.93518560958784391</v>
      </c>
      <c r="F47" s="21">
        <f t="shared" si="1"/>
        <v>0.69384236099543783</v>
      </c>
      <c r="G47" s="21">
        <f t="shared" si="2"/>
        <v>0.37730755079225703</v>
      </c>
      <c r="H47" s="21">
        <f t="shared" si="3"/>
        <v>0.96704995196103694</v>
      </c>
      <c r="I47" s="21">
        <f t="shared" si="4"/>
        <v>0.83297200492899992</v>
      </c>
      <c r="J47" s="21">
        <f t="shared" si="5"/>
        <v>0.61425365346268557</v>
      </c>
      <c r="K47" s="21">
        <f t="shared" si="6"/>
        <v>0.97791086600448651</v>
      </c>
      <c r="L47" s="21">
        <f t="shared" si="7"/>
        <v>0.88529280999999993</v>
      </c>
      <c r="M47" s="21">
        <f t="shared" si="8"/>
        <v>0.72260090115384579</v>
      </c>
      <c r="N47" s="21">
        <f t="shared" si="9"/>
        <v>0.9833869797597673</v>
      </c>
      <c r="O47" s="21">
        <f t="shared" si="10"/>
        <v>0.91267299999999996</v>
      </c>
      <c r="P47" s="21">
        <f t="shared" si="11"/>
        <v>0.78374335943769602</v>
      </c>
      <c r="Q47" s="21">
        <f t="shared" si="12"/>
        <v>0.98668735633527116</v>
      </c>
      <c r="R47" s="21">
        <f t="shared" si="13"/>
        <v>0.92950592451927649</v>
      </c>
      <c r="S47" s="21">
        <f t="shared" si="14"/>
        <v>0.82288491182931811</v>
      </c>
      <c r="T47" s="21">
        <f t="shared" si="15"/>
        <v>0.98889375870438512</v>
      </c>
      <c r="U47" s="21">
        <f t="shared" si="16"/>
        <v>0.94089999999999996</v>
      </c>
      <c r="V47" s="21">
        <f t="shared" si="17"/>
        <v>0.850059351547788</v>
      </c>
    </row>
    <row r="48" spans="1:22" x14ac:dyDescent="0.25">
      <c r="A48" t="str">
        <f>Tabelle2!A51</f>
        <v xml:space="preserve"> Castoroides</v>
      </c>
      <c r="B48">
        <f>Tabelle2!$N51+(B$11*Tabelle2!$O51)</f>
        <v>2200</v>
      </c>
      <c r="C48">
        <f>Tabelle2!$N51+(C$11*Tabelle2!$O51)</f>
        <v>12000</v>
      </c>
      <c r="D48">
        <f>Tabelle2!$N51+(D$11*Tabelle2!$O51)</f>
        <v>32000</v>
      </c>
      <c r="E48" s="21">
        <f t="shared" si="0"/>
        <v>0.93518560958784391</v>
      </c>
      <c r="F48" s="21">
        <f t="shared" si="1"/>
        <v>0.69384236099543783</v>
      </c>
      <c r="G48" s="21">
        <f t="shared" si="2"/>
        <v>0.37730755079225703</v>
      </c>
      <c r="H48" s="21">
        <f t="shared" si="3"/>
        <v>0.96704995196103694</v>
      </c>
      <c r="I48" s="21">
        <f t="shared" si="4"/>
        <v>0.83297200492899992</v>
      </c>
      <c r="J48" s="21">
        <f t="shared" si="5"/>
        <v>0.61425365346268557</v>
      </c>
      <c r="K48" s="21">
        <f t="shared" si="6"/>
        <v>0.97791086600448651</v>
      </c>
      <c r="L48" s="21">
        <f t="shared" si="7"/>
        <v>0.88529280999999993</v>
      </c>
      <c r="M48" s="21">
        <f t="shared" si="8"/>
        <v>0.72260090115384579</v>
      </c>
      <c r="N48" s="21">
        <f t="shared" si="9"/>
        <v>0.9833869797597673</v>
      </c>
      <c r="O48" s="21">
        <f t="shared" si="10"/>
        <v>0.91267299999999996</v>
      </c>
      <c r="P48" s="21">
        <f t="shared" si="11"/>
        <v>0.78374335943769602</v>
      </c>
      <c r="Q48" s="21">
        <f t="shared" si="12"/>
        <v>0.98668735633527116</v>
      </c>
      <c r="R48" s="21">
        <f t="shared" si="13"/>
        <v>0.92950592451927649</v>
      </c>
      <c r="S48" s="21">
        <f t="shared" si="14"/>
        <v>0.82288491182931811</v>
      </c>
      <c r="T48" s="21">
        <f t="shared" si="15"/>
        <v>0.98889375870438512</v>
      </c>
      <c r="U48" s="21">
        <f t="shared" si="16"/>
        <v>0.94089999999999996</v>
      </c>
      <c r="V48" s="21">
        <f t="shared" si="17"/>
        <v>0.850059351547788</v>
      </c>
    </row>
    <row r="49" spans="1:22" x14ac:dyDescent="0.25">
      <c r="A49" t="str">
        <f>Tabelle2!A52</f>
        <v xml:space="preserve"> Cat</v>
      </c>
      <c r="B49">
        <f>Tabelle2!$N52+(B$11*Tabelle2!$O52)</f>
        <v>495</v>
      </c>
      <c r="C49">
        <f>Tabelle2!$N52+(C$11*Tabelle2!$O52)</f>
        <v>2700</v>
      </c>
      <c r="D49">
        <f>Tabelle2!$N52+(D$11*Tabelle2!$O52)</f>
        <v>7200</v>
      </c>
      <c r="E49" s="21">
        <f t="shared" si="0"/>
        <v>0.98503578580358775</v>
      </c>
      <c r="F49" s="21">
        <f t="shared" si="1"/>
        <v>0.92105100871166823</v>
      </c>
      <c r="G49" s="21">
        <f t="shared" si="2"/>
        <v>0.80307570329807754</v>
      </c>
      <c r="H49" s="21">
        <f t="shared" si="3"/>
        <v>0.99248969052760827</v>
      </c>
      <c r="I49" s="21">
        <f t="shared" si="4"/>
        <v>0.9597140244425254</v>
      </c>
      <c r="J49" s="21">
        <f t="shared" si="5"/>
        <v>0.89614491199698143</v>
      </c>
      <c r="K49" s="21">
        <f t="shared" si="6"/>
        <v>0.99498683881266892</v>
      </c>
      <c r="L49" s="21">
        <f t="shared" si="7"/>
        <v>0.9729590473501305</v>
      </c>
      <c r="M49" s="21">
        <f t="shared" si="8"/>
        <v>0.92950592451927649</v>
      </c>
      <c r="N49" s="21">
        <f t="shared" si="9"/>
        <v>0.99623776806925379</v>
      </c>
      <c r="O49" s="21">
        <f t="shared" si="10"/>
        <v>0.97964994995280097</v>
      </c>
      <c r="P49" s="21">
        <f t="shared" si="11"/>
        <v>0.94664930782047341</v>
      </c>
      <c r="Q49" s="21">
        <f t="shared" si="12"/>
        <v>0.99698908039667333</v>
      </c>
      <c r="R49" s="21">
        <f t="shared" si="13"/>
        <v>0.98368655726246035</v>
      </c>
      <c r="S49" s="21">
        <f t="shared" si="14"/>
        <v>0.95708673564521296</v>
      </c>
      <c r="T49" s="21">
        <f t="shared" si="15"/>
        <v>0.99749027003408353</v>
      </c>
      <c r="U49" s="21">
        <f t="shared" si="16"/>
        <v>0.98638686495214978</v>
      </c>
      <c r="V49" s="21">
        <f t="shared" si="17"/>
        <v>0.9641088758637566</v>
      </c>
    </row>
    <row r="50" spans="1:22" x14ac:dyDescent="0.25">
      <c r="A50" t="str">
        <f>Tabelle2!A53</f>
        <v xml:space="preserve"> Ceratosaurus</v>
      </c>
      <c r="B50">
        <f>Tabelle2!$N53+(B$11*Tabelle2!$O53)</f>
        <v>3300</v>
      </c>
      <c r="C50">
        <f>Tabelle2!$N53+(C$11*Tabelle2!$O53)</f>
        <v>18000</v>
      </c>
      <c r="D50">
        <f>Tabelle2!$N53+(D$11*Tabelle2!$O53)</f>
        <v>48000</v>
      </c>
      <c r="E50" s="21">
        <f t="shared" si="0"/>
        <v>0.90437119882657746</v>
      </c>
      <c r="F50" s="21">
        <f t="shared" si="1"/>
        <v>0.57795126254304086</v>
      </c>
      <c r="G50" s="21">
        <f t="shared" si="2"/>
        <v>0.2317625415532017</v>
      </c>
      <c r="H50" s="21">
        <f t="shared" si="3"/>
        <v>0.9509843315357922</v>
      </c>
      <c r="I50" s="21">
        <f t="shared" si="4"/>
        <v>0.76023105865456508</v>
      </c>
      <c r="J50" s="21">
        <f t="shared" si="5"/>
        <v>0.48141722191172354</v>
      </c>
      <c r="K50" s="21">
        <f t="shared" si="6"/>
        <v>0.96704995196103694</v>
      </c>
      <c r="L50" s="21">
        <f t="shared" si="7"/>
        <v>0.83297200492899992</v>
      </c>
      <c r="M50" s="21">
        <f t="shared" si="8"/>
        <v>0.61425365346268557</v>
      </c>
      <c r="N50" s="21">
        <f t="shared" si="9"/>
        <v>0.9751842551722173</v>
      </c>
      <c r="O50" s="21">
        <f t="shared" si="10"/>
        <v>0.87191229986424956</v>
      </c>
      <c r="P50" s="21">
        <f t="shared" si="11"/>
        <v>0.69384236099543783</v>
      </c>
      <c r="Q50" s="21">
        <f t="shared" si="12"/>
        <v>0.98009764263406507</v>
      </c>
      <c r="R50" s="21">
        <f t="shared" si="13"/>
        <v>0.89614491199698143</v>
      </c>
      <c r="S50" s="21">
        <f t="shared" si="14"/>
        <v>0.74646362405304778</v>
      </c>
      <c r="T50" s="21">
        <f t="shared" si="15"/>
        <v>0.9833869797597673</v>
      </c>
      <c r="U50" s="21">
        <f t="shared" si="16"/>
        <v>0.91267299999999996</v>
      </c>
      <c r="V50" s="21">
        <f t="shared" si="17"/>
        <v>0.78374335943769602</v>
      </c>
    </row>
    <row r="51" spans="1:22" x14ac:dyDescent="0.25">
      <c r="A51" t="str">
        <f>Tabelle2!A54</f>
        <v xml:space="preserve"> Chalicotherium</v>
      </c>
      <c r="B51">
        <f>Tabelle2!$N54+(B$11*Tabelle2!$O54)</f>
        <v>4400</v>
      </c>
      <c r="C51">
        <f>Tabelle2!$N54+(C$11*Tabelle2!$O54)</f>
        <v>24000</v>
      </c>
      <c r="D51">
        <f>Tabelle2!$N54+(D$11*Tabelle2!$O54)</f>
        <v>64000</v>
      </c>
      <c r="E51" s="21">
        <f t="shared" si="0"/>
        <v>0.87457212438018717</v>
      </c>
      <c r="F51" s="21">
        <f t="shared" si="1"/>
        <v>0.48141722191172354</v>
      </c>
      <c r="G51" s="21">
        <f t="shared" si="2"/>
        <v>0.14236098788485163</v>
      </c>
      <c r="H51" s="21">
        <f t="shared" si="3"/>
        <v>0.93518560958784391</v>
      </c>
      <c r="I51" s="21">
        <f t="shared" si="4"/>
        <v>0.69384236099543783</v>
      </c>
      <c r="J51" s="21">
        <f t="shared" si="5"/>
        <v>0.37730755079225703</v>
      </c>
      <c r="K51" s="21">
        <f t="shared" si="6"/>
        <v>0.95630966184964483</v>
      </c>
      <c r="L51" s="21">
        <f t="shared" si="7"/>
        <v>0.78374335943769602</v>
      </c>
      <c r="M51" s="21">
        <f t="shared" si="8"/>
        <v>0.5221520623483501</v>
      </c>
      <c r="N51" s="21">
        <f t="shared" si="9"/>
        <v>0.96704995196103694</v>
      </c>
      <c r="O51" s="21">
        <f t="shared" si="10"/>
        <v>0.83297200492899992</v>
      </c>
      <c r="P51" s="21">
        <f t="shared" si="11"/>
        <v>0.61425365346268557</v>
      </c>
      <c r="Q51" s="21">
        <f t="shared" si="12"/>
        <v>0.97355193915188631</v>
      </c>
      <c r="R51" s="21">
        <f t="shared" si="13"/>
        <v>0.86398126371643491</v>
      </c>
      <c r="S51" s="21">
        <f t="shared" si="14"/>
        <v>0.67713957811634451</v>
      </c>
      <c r="T51" s="21">
        <f t="shared" si="15"/>
        <v>0.97791086600448651</v>
      </c>
      <c r="U51" s="21">
        <f t="shared" si="16"/>
        <v>0.88529280999999993</v>
      </c>
      <c r="V51" s="21">
        <f t="shared" si="17"/>
        <v>0.72260090115384579</v>
      </c>
    </row>
    <row r="52" spans="1:22" x14ac:dyDescent="0.25">
      <c r="A52" t="str">
        <f>Tabelle2!A55</f>
        <v xml:space="preserve"> Cnidaria</v>
      </c>
      <c r="B52">
        <f>Tabelle2!$N55+(B$11*Tabelle2!$O55)</f>
        <v>1320</v>
      </c>
      <c r="C52">
        <f>Tabelle2!$N55+(C$11*Tabelle2!$O55)</f>
        <v>7200</v>
      </c>
      <c r="D52">
        <f>Tabelle2!$N55+(D$11*Tabelle2!$O55)</f>
        <v>19200</v>
      </c>
      <c r="E52" s="21">
        <f t="shared" si="0"/>
        <v>0.96059138909685149</v>
      </c>
      <c r="F52" s="21">
        <f t="shared" si="1"/>
        <v>0.80307570329807754</v>
      </c>
      <c r="G52" s="21">
        <f t="shared" si="2"/>
        <v>0.55720794203440982</v>
      </c>
      <c r="H52" s="21">
        <f t="shared" si="3"/>
        <v>0.98009764263406507</v>
      </c>
      <c r="I52" s="21">
        <f t="shared" si="4"/>
        <v>0.89614491199698143</v>
      </c>
      <c r="J52" s="21">
        <f t="shared" si="5"/>
        <v>0.74646362405304778</v>
      </c>
      <c r="K52" s="21">
        <f t="shared" si="6"/>
        <v>0.98668735633527116</v>
      </c>
      <c r="L52" s="21">
        <f t="shared" si="7"/>
        <v>0.92950592451927649</v>
      </c>
      <c r="M52" s="21">
        <f t="shared" si="8"/>
        <v>0.82288491182931811</v>
      </c>
      <c r="N52" s="21">
        <f t="shared" si="9"/>
        <v>0.98999880941042806</v>
      </c>
      <c r="O52" s="21">
        <f t="shared" si="10"/>
        <v>0.94664930782047341</v>
      </c>
      <c r="P52" s="21">
        <f t="shared" si="11"/>
        <v>0.86398126371643491</v>
      </c>
      <c r="Q52" s="21">
        <f t="shared" si="12"/>
        <v>0.9919910134346358</v>
      </c>
      <c r="R52" s="21">
        <f t="shared" si="13"/>
        <v>0.95708673564521296</v>
      </c>
      <c r="S52" s="21">
        <f t="shared" si="14"/>
        <v>0.88961779106104</v>
      </c>
      <c r="T52" s="21">
        <f t="shared" si="15"/>
        <v>0.99332137615943372</v>
      </c>
      <c r="U52" s="21">
        <f t="shared" si="16"/>
        <v>0.9641088758637566</v>
      </c>
      <c r="V52" s="21">
        <f t="shared" si="17"/>
        <v>0.90713004130020858</v>
      </c>
    </row>
    <row r="53" spans="1:22" x14ac:dyDescent="0.25">
      <c r="A53" t="str">
        <f>Tabelle2!A56</f>
        <v xml:space="preserve"> Coelacanth</v>
      </c>
      <c r="B53">
        <f>Tabelle2!$N56+(B$11*Tabelle2!$O56)</f>
        <v>110</v>
      </c>
      <c r="C53">
        <f>Tabelle2!$N56+(C$11*Tabelle2!$O56)</f>
        <v>600</v>
      </c>
      <c r="D53">
        <f>Tabelle2!$N56+(D$11*Tabelle2!$O56)</f>
        <v>1600</v>
      </c>
      <c r="E53" s="21">
        <f t="shared" si="0"/>
        <v>0.99665509388124518</v>
      </c>
      <c r="F53" s="21">
        <f t="shared" si="1"/>
        <v>0.98189046021628945</v>
      </c>
      <c r="G53" s="21">
        <f t="shared" si="2"/>
        <v>0.95243374640980072</v>
      </c>
      <c r="H53" s="21">
        <f t="shared" si="3"/>
        <v>0.9983261460470948</v>
      </c>
      <c r="I53" s="21">
        <f t="shared" si="4"/>
        <v>0.99090386022877586</v>
      </c>
      <c r="J53" s="21">
        <f t="shared" si="5"/>
        <v>0.97592712146440563</v>
      </c>
      <c r="K53" s="21">
        <f t="shared" si="6"/>
        <v>0.99888378582323645</v>
      </c>
      <c r="L53" s="21">
        <f t="shared" si="7"/>
        <v>0.99392667614820274</v>
      </c>
      <c r="M53" s="21">
        <f t="shared" si="8"/>
        <v>0.98388632629744599</v>
      </c>
      <c r="N53" s="21">
        <f t="shared" si="9"/>
        <v>0.99916272250674698</v>
      </c>
      <c r="O53" s="21">
        <f t="shared" si="10"/>
        <v>0.99544154033713894</v>
      </c>
      <c r="P53" s="21">
        <f t="shared" si="11"/>
        <v>0.98789023755901428</v>
      </c>
      <c r="Q53" s="21">
        <f t="shared" si="12"/>
        <v>0.99933012190391823</v>
      </c>
      <c r="R53" s="21">
        <f t="shared" si="13"/>
        <v>0.9963515668666012</v>
      </c>
      <c r="S53" s="21">
        <f t="shared" si="14"/>
        <v>0.99030040113077478</v>
      </c>
      <c r="T53" s="21">
        <f t="shared" si="15"/>
        <v>0.99944173708287587</v>
      </c>
      <c r="U53" s="21">
        <f t="shared" si="16"/>
        <v>0.99695871336189379</v>
      </c>
      <c r="V53" s="21">
        <f t="shared" si="17"/>
        <v>0.99191044267990547</v>
      </c>
    </row>
    <row r="54" spans="1:22" x14ac:dyDescent="0.25">
      <c r="A54" t="str">
        <f>Tabelle2!A57</f>
        <v xml:space="preserve"> Compy</v>
      </c>
      <c r="B54">
        <f>Tabelle2!$N57+(B$11*Tabelle2!$O57)</f>
        <v>495</v>
      </c>
      <c r="C54">
        <f>Tabelle2!$N57+(C$11*Tabelle2!$O57)</f>
        <v>2700</v>
      </c>
      <c r="D54">
        <f>Tabelle2!$N57+(D$11*Tabelle2!$O57)</f>
        <v>7200</v>
      </c>
      <c r="E54" s="21">
        <f t="shared" si="0"/>
        <v>0.98503578580358775</v>
      </c>
      <c r="F54" s="21">
        <f t="shared" si="1"/>
        <v>0.92105100871166823</v>
      </c>
      <c r="G54" s="21">
        <f t="shared" si="2"/>
        <v>0.80307570329807754</v>
      </c>
      <c r="H54" s="21">
        <f t="shared" si="3"/>
        <v>0.99248969052760827</v>
      </c>
      <c r="I54" s="21">
        <f t="shared" si="4"/>
        <v>0.9597140244425254</v>
      </c>
      <c r="J54" s="21">
        <f t="shared" si="5"/>
        <v>0.89614491199698143</v>
      </c>
      <c r="K54" s="21">
        <f t="shared" si="6"/>
        <v>0.99498683881266892</v>
      </c>
      <c r="L54" s="21">
        <f t="shared" si="7"/>
        <v>0.9729590473501305</v>
      </c>
      <c r="M54" s="21">
        <f t="shared" si="8"/>
        <v>0.92950592451927649</v>
      </c>
      <c r="N54" s="21">
        <f t="shared" si="9"/>
        <v>0.99623776806925379</v>
      </c>
      <c r="O54" s="21">
        <f t="shared" si="10"/>
        <v>0.97964994995280097</v>
      </c>
      <c r="P54" s="21">
        <f t="shared" si="11"/>
        <v>0.94664930782047341</v>
      </c>
      <c r="Q54" s="21">
        <f t="shared" si="12"/>
        <v>0.99698908039667333</v>
      </c>
      <c r="R54" s="21">
        <f t="shared" si="13"/>
        <v>0.98368655726246035</v>
      </c>
      <c r="S54" s="21">
        <f t="shared" si="14"/>
        <v>0.95708673564521296</v>
      </c>
      <c r="T54" s="21">
        <f t="shared" si="15"/>
        <v>0.99749027003408353</v>
      </c>
      <c r="U54" s="21">
        <f t="shared" si="16"/>
        <v>0.98638686495214978</v>
      </c>
      <c r="V54" s="21">
        <f t="shared" si="17"/>
        <v>0.9641088758637566</v>
      </c>
    </row>
    <row r="55" spans="1:22" x14ac:dyDescent="0.25">
      <c r="A55" t="str">
        <f>Tabelle2!A58</f>
        <v xml:space="preserve"> Corrupted Master Controller </v>
      </c>
      <c r="B55">
        <f>Tabelle2!$N58+(B$11*Tabelle2!$O58)</f>
        <v>100</v>
      </c>
      <c r="C55">
        <f>Tabelle2!$N58+(C$11*Tabelle2!$O58)</f>
        <v>100</v>
      </c>
      <c r="D55">
        <f>Tabelle2!$N58+(D$11*Tabelle2!$O58)</f>
        <v>100</v>
      </c>
      <c r="E55" s="21">
        <f t="shared" si="0"/>
        <v>0.99695871336189379</v>
      </c>
      <c r="F55" s="21">
        <f t="shared" si="1"/>
        <v>0.99695871336189379</v>
      </c>
      <c r="G55" s="21">
        <f t="shared" si="2"/>
        <v>0.99695871336189379</v>
      </c>
      <c r="H55" s="21">
        <f t="shared" si="3"/>
        <v>0.99847819874141153</v>
      </c>
      <c r="I55" s="21">
        <f t="shared" si="4"/>
        <v>0.99847819874141153</v>
      </c>
      <c r="J55" s="21">
        <f t="shared" si="5"/>
        <v>0.99847819874141153</v>
      </c>
      <c r="K55" s="21">
        <f t="shared" si="6"/>
        <v>0.99898520833351645</v>
      </c>
      <c r="L55" s="21">
        <f t="shared" si="7"/>
        <v>0.99898520833351645</v>
      </c>
      <c r="M55" s="21">
        <f t="shared" si="8"/>
        <v>0.99898520833351645</v>
      </c>
      <c r="N55" s="21">
        <f t="shared" si="9"/>
        <v>0.99923880966534295</v>
      </c>
      <c r="O55" s="21">
        <f t="shared" si="10"/>
        <v>0.99923880966534295</v>
      </c>
      <c r="P55" s="21">
        <f t="shared" si="11"/>
        <v>0.99923880966534295</v>
      </c>
      <c r="Q55" s="21">
        <f t="shared" si="12"/>
        <v>0.99939100136529713</v>
      </c>
      <c r="R55" s="21">
        <f t="shared" si="13"/>
        <v>0.99939100136529713</v>
      </c>
      <c r="S55" s="21">
        <f t="shared" si="14"/>
        <v>0.99939100136529713</v>
      </c>
      <c r="T55" s="21">
        <f t="shared" si="15"/>
        <v>0.99949247537613628</v>
      </c>
      <c r="U55" s="21">
        <f t="shared" si="16"/>
        <v>0.99949247537613628</v>
      </c>
      <c r="V55" s="21">
        <f t="shared" si="17"/>
        <v>0.99949247537613628</v>
      </c>
    </row>
    <row r="56" spans="1:22" x14ac:dyDescent="0.25">
      <c r="A56" t="str">
        <f>Tabelle2!A59</f>
        <v xml:space="preserve"> Corrupted Master Controller </v>
      </c>
      <c r="B56">
        <f>Tabelle2!$N59+(B$11*Tabelle2!$O59)</f>
        <v>100</v>
      </c>
      <c r="C56">
        <f>Tabelle2!$N59+(C$11*Tabelle2!$O59)</f>
        <v>100</v>
      </c>
      <c r="D56">
        <f>Tabelle2!$N59+(D$11*Tabelle2!$O59)</f>
        <v>100</v>
      </c>
      <c r="E56" s="21">
        <f t="shared" si="0"/>
        <v>0.99695871336189379</v>
      </c>
      <c r="F56" s="21">
        <f t="shared" si="1"/>
        <v>0.99695871336189379</v>
      </c>
      <c r="G56" s="21">
        <f t="shared" si="2"/>
        <v>0.99695871336189379</v>
      </c>
      <c r="H56" s="21">
        <f t="shared" si="3"/>
        <v>0.99847819874141153</v>
      </c>
      <c r="I56" s="21">
        <f t="shared" si="4"/>
        <v>0.99847819874141153</v>
      </c>
      <c r="J56" s="21">
        <f t="shared" si="5"/>
        <v>0.99847819874141153</v>
      </c>
      <c r="K56" s="21">
        <f t="shared" si="6"/>
        <v>0.99898520833351645</v>
      </c>
      <c r="L56" s="21">
        <f t="shared" si="7"/>
        <v>0.99898520833351645</v>
      </c>
      <c r="M56" s="21">
        <f t="shared" si="8"/>
        <v>0.99898520833351645</v>
      </c>
      <c r="N56" s="21">
        <f t="shared" si="9"/>
        <v>0.99923880966534295</v>
      </c>
      <c r="O56" s="21">
        <f t="shared" si="10"/>
        <v>0.99923880966534295</v>
      </c>
      <c r="P56" s="21">
        <f t="shared" si="11"/>
        <v>0.99923880966534295</v>
      </c>
      <c r="Q56" s="21">
        <f t="shared" si="12"/>
        <v>0.99939100136529713</v>
      </c>
      <c r="R56" s="21">
        <f t="shared" si="13"/>
        <v>0.99939100136529713</v>
      </c>
      <c r="S56" s="21">
        <f t="shared" si="14"/>
        <v>0.99939100136529713</v>
      </c>
      <c r="T56" s="21">
        <f t="shared" si="15"/>
        <v>0.99949247537613628</v>
      </c>
      <c r="U56" s="21">
        <f t="shared" si="16"/>
        <v>0.99949247537613628</v>
      </c>
      <c r="V56" s="21">
        <f t="shared" si="17"/>
        <v>0.99949247537613628</v>
      </c>
    </row>
    <row r="57" spans="1:22" x14ac:dyDescent="0.25">
      <c r="A57" t="str">
        <f>Tabelle2!A60</f>
        <v xml:space="preserve"> Corrupted Master Controller </v>
      </c>
      <c r="B57">
        <f>Tabelle2!$N60+(B$11*Tabelle2!$O60)</f>
        <v>100</v>
      </c>
      <c r="C57">
        <f>Tabelle2!$N60+(C$11*Tabelle2!$O60)</f>
        <v>100</v>
      </c>
      <c r="D57">
        <f>Tabelle2!$N60+(D$11*Tabelle2!$O60)</f>
        <v>100</v>
      </c>
      <c r="E57" s="21">
        <f t="shared" si="0"/>
        <v>0.99695871336189379</v>
      </c>
      <c r="F57" s="21">
        <f t="shared" si="1"/>
        <v>0.99695871336189379</v>
      </c>
      <c r="G57" s="21">
        <f t="shared" si="2"/>
        <v>0.99695871336189379</v>
      </c>
      <c r="H57" s="21">
        <f t="shared" si="3"/>
        <v>0.99847819874141153</v>
      </c>
      <c r="I57" s="21">
        <f t="shared" si="4"/>
        <v>0.99847819874141153</v>
      </c>
      <c r="J57" s="21">
        <f t="shared" si="5"/>
        <v>0.99847819874141153</v>
      </c>
      <c r="K57" s="21">
        <f t="shared" si="6"/>
        <v>0.99898520833351645</v>
      </c>
      <c r="L57" s="21">
        <f t="shared" si="7"/>
        <v>0.99898520833351645</v>
      </c>
      <c r="M57" s="21">
        <f t="shared" si="8"/>
        <v>0.99898520833351645</v>
      </c>
      <c r="N57" s="21">
        <f t="shared" si="9"/>
        <v>0.99923880966534295</v>
      </c>
      <c r="O57" s="21">
        <f t="shared" si="10"/>
        <v>0.99923880966534295</v>
      </c>
      <c r="P57" s="21">
        <f t="shared" si="11"/>
        <v>0.99923880966534295</v>
      </c>
      <c r="Q57" s="21">
        <f t="shared" si="12"/>
        <v>0.99939100136529713</v>
      </c>
      <c r="R57" s="21">
        <f t="shared" si="13"/>
        <v>0.99939100136529713</v>
      </c>
      <c r="S57" s="21">
        <f t="shared" si="14"/>
        <v>0.99939100136529713</v>
      </c>
      <c r="T57" s="21">
        <f t="shared" si="15"/>
        <v>0.99949247537613628</v>
      </c>
      <c r="U57" s="21">
        <f t="shared" si="16"/>
        <v>0.99949247537613628</v>
      </c>
      <c r="V57" s="21">
        <f t="shared" si="17"/>
        <v>0.99949247537613628</v>
      </c>
    </row>
    <row r="58" spans="1:22" x14ac:dyDescent="0.25">
      <c r="A58" t="str">
        <f>Tabelle2!A61</f>
        <v xml:space="preserve"> Cosmo</v>
      </c>
      <c r="B58">
        <f>Tabelle2!$N61+(B$11*Tabelle2!$O61)</f>
        <v>495</v>
      </c>
      <c r="C58">
        <f>Tabelle2!$N61+(C$11*Tabelle2!$O61)</f>
        <v>2700</v>
      </c>
      <c r="D58">
        <f>Tabelle2!$N61+(D$11*Tabelle2!$O61)</f>
        <v>7200</v>
      </c>
      <c r="E58" s="21">
        <f t="shared" si="0"/>
        <v>0.98503578580358775</v>
      </c>
      <c r="F58" s="21">
        <f t="shared" si="1"/>
        <v>0.92105100871166823</v>
      </c>
      <c r="G58" s="21">
        <f t="shared" si="2"/>
        <v>0.80307570329807754</v>
      </c>
      <c r="H58" s="21">
        <f t="shared" si="3"/>
        <v>0.99248969052760827</v>
      </c>
      <c r="I58" s="21">
        <f t="shared" si="4"/>
        <v>0.9597140244425254</v>
      </c>
      <c r="J58" s="21">
        <f t="shared" si="5"/>
        <v>0.89614491199698143</v>
      </c>
      <c r="K58" s="21">
        <f t="shared" si="6"/>
        <v>0.99498683881266892</v>
      </c>
      <c r="L58" s="21">
        <f t="shared" si="7"/>
        <v>0.9729590473501305</v>
      </c>
      <c r="M58" s="21">
        <f t="shared" si="8"/>
        <v>0.92950592451927649</v>
      </c>
      <c r="N58" s="21">
        <f t="shared" si="9"/>
        <v>0.99623776806925379</v>
      </c>
      <c r="O58" s="21">
        <f t="shared" si="10"/>
        <v>0.97964994995280097</v>
      </c>
      <c r="P58" s="21">
        <f t="shared" si="11"/>
        <v>0.94664930782047341</v>
      </c>
      <c r="Q58" s="21">
        <f t="shared" si="12"/>
        <v>0.99698908039667333</v>
      </c>
      <c r="R58" s="21">
        <f t="shared" si="13"/>
        <v>0.98368655726246035</v>
      </c>
      <c r="S58" s="21">
        <f t="shared" si="14"/>
        <v>0.95708673564521296</v>
      </c>
      <c r="T58" s="21">
        <f t="shared" si="15"/>
        <v>0.99749027003408353</v>
      </c>
      <c r="U58" s="21">
        <f t="shared" si="16"/>
        <v>0.98638686495214978</v>
      </c>
      <c r="V58" s="21">
        <f t="shared" si="17"/>
        <v>0.9641088758637566</v>
      </c>
    </row>
    <row r="59" spans="1:22" x14ac:dyDescent="0.25">
      <c r="A59" t="str">
        <f>Tabelle2!A62</f>
        <v xml:space="preserve"> Crystal Wyvern</v>
      </c>
      <c r="B59">
        <f>Tabelle2!$N62+(B$11*Tabelle2!$O62)</f>
        <v>1650</v>
      </c>
      <c r="C59">
        <f>Tabelle2!$N62+(C$11*Tabelle2!$O62)</f>
        <v>9000</v>
      </c>
      <c r="D59">
        <f>Tabelle2!$N62+(D$11*Tabelle2!$O62)</f>
        <v>24000</v>
      </c>
      <c r="E59" s="21">
        <f t="shared" si="0"/>
        <v>0.9509843315357922</v>
      </c>
      <c r="F59" s="21">
        <f t="shared" si="1"/>
        <v>0.76023105865456508</v>
      </c>
      <c r="G59" s="21">
        <f t="shared" si="2"/>
        <v>0.48141722191172354</v>
      </c>
      <c r="H59" s="21">
        <f t="shared" si="3"/>
        <v>0.9751842551722173</v>
      </c>
      <c r="I59" s="21">
        <f t="shared" si="4"/>
        <v>0.87191229986424956</v>
      </c>
      <c r="J59" s="21">
        <f t="shared" si="5"/>
        <v>0.69384236099543783</v>
      </c>
      <c r="K59" s="21">
        <f t="shared" si="6"/>
        <v>0.9833869797597673</v>
      </c>
      <c r="L59" s="21">
        <f t="shared" si="7"/>
        <v>0.91267299999999996</v>
      </c>
      <c r="M59" s="21">
        <f t="shared" si="8"/>
        <v>0.78374335943769602</v>
      </c>
      <c r="N59" s="21">
        <f t="shared" si="9"/>
        <v>0.9875141797322291</v>
      </c>
      <c r="O59" s="21">
        <f t="shared" si="10"/>
        <v>0.93376244295015931</v>
      </c>
      <c r="P59" s="21">
        <f t="shared" si="11"/>
        <v>0.83297200492899992</v>
      </c>
      <c r="Q59" s="21">
        <f t="shared" si="12"/>
        <v>0.98999880941042806</v>
      </c>
      <c r="R59" s="21">
        <f t="shared" si="13"/>
        <v>0.94664930782047341</v>
      </c>
      <c r="S59" s="21">
        <f t="shared" si="14"/>
        <v>0.86398126371643491</v>
      </c>
      <c r="T59" s="21">
        <f t="shared" si="15"/>
        <v>0.99165870124744393</v>
      </c>
      <c r="U59" s="21">
        <f t="shared" si="16"/>
        <v>0.95533920677422213</v>
      </c>
      <c r="V59" s="21">
        <f t="shared" si="17"/>
        <v>0.88529280999999993</v>
      </c>
    </row>
    <row r="60" spans="1:22" x14ac:dyDescent="0.25">
      <c r="A60" t="str">
        <f>Tabelle2!A63</f>
        <v xml:space="preserve"> Crystal Wyvern</v>
      </c>
      <c r="B60">
        <f>Tabelle2!$N63+(B$11*Tabelle2!$O63)</f>
        <v>1650</v>
      </c>
      <c r="C60">
        <f>Tabelle2!$N63+(C$11*Tabelle2!$O63)</f>
        <v>9000</v>
      </c>
      <c r="D60">
        <f>Tabelle2!$N63+(D$11*Tabelle2!$O63)</f>
        <v>24000</v>
      </c>
      <c r="E60" s="21">
        <f t="shared" si="0"/>
        <v>0.9509843315357922</v>
      </c>
      <c r="F60" s="21">
        <f t="shared" si="1"/>
        <v>0.76023105865456508</v>
      </c>
      <c r="G60" s="21">
        <f t="shared" si="2"/>
        <v>0.48141722191172354</v>
      </c>
      <c r="H60" s="21">
        <f t="shared" si="3"/>
        <v>0.9751842551722173</v>
      </c>
      <c r="I60" s="21">
        <f t="shared" si="4"/>
        <v>0.87191229986424956</v>
      </c>
      <c r="J60" s="21">
        <f t="shared" si="5"/>
        <v>0.69384236099543783</v>
      </c>
      <c r="K60" s="21">
        <f t="shared" si="6"/>
        <v>0.9833869797597673</v>
      </c>
      <c r="L60" s="21">
        <f t="shared" si="7"/>
        <v>0.91267299999999996</v>
      </c>
      <c r="M60" s="21">
        <f t="shared" si="8"/>
        <v>0.78374335943769602</v>
      </c>
      <c r="N60" s="21">
        <f t="shared" si="9"/>
        <v>0.9875141797322291</v>
      </c>
      <c r="O60" s="21">
        <f t="shared" si="10"/>
        <v>0.93376244295015931</v>
      </c>
      <c r="P60" s="21">
        <f t="shared" si="11"/>
        <v>0.83297200492899992</v>
      </c>
      <c r="Q60" s="21">
        <f t="shared" si="12"/>
        <v>0.98999880941042806</v>
      </c>
      <c r="R60" s="21">
        <f t="shared" si="13"/>
        <v>0.94664930782047341</v>
      </c>
      <c r="S60" s="21">
        <f t="shared" si="14"/>
        <v>0.86398126371643491</v>
      </c>
      <c r="T60" s="21">
        <f t="shared" si="15"/>
        <v>0.99165870124744393</v>
      </c>
      <c r="U60" s="21">
        <f t="shared" si="16"/>
        <v>0.95533920677422213</v>
      </c>
      <c r="V60" s="21">
        <f t="shared" si="17"/>
        <v>0.88529280999999993</v>
      </c>
    </row>
    <row r="61" spans="1:22" x14ac:dyDescent="0.25">
      <c r="A61" t="str">
        <f>Tabelle2!A64</f>
        <v xml:space="preserve"> Crystal Wyvern</v>
      </c>
      <c r="B61">
        <f>Tabelle2!$N64+(B$11*Tabelle2!$O64)</f>
        <v>1650</v>
      </c>
      <c r="C61">
        <f>Tabelle2!$N64+(C$11*Tabelle2!$O64)</f>
        <v>9000</v>
      </c>
      <c r="D61">
        <f>Tabelle2!$N64+(D$11*Tabelle2!$O64)</f>
        <v>24000</v>
      </c>
      <c r="E61" s="21">
        <f t="shared" si="0"/>
        <v>0.9509843315357922</v>
      </c>
      <c r="F61" s="21">
        <f t="shared" si="1"/>
        <v>0.76023105865456508</v>
      </c>
      <c r="G61" s="21">
        <f t="shared" si="2"/>
        <v>0.48141722191172354</v>
      </c>
      <c r="H61" s="21">
        <f t="shared" si="3"/>
        <v>0.9751842551722173</v>
      </c>
      <c r="I61" s="21">
        <f t="shared" si="4"/>
        <v>0.87191229986424956</v>
      </c>
      <c r="J61" s="21">
        <f t="shared" si="5"/>
        <v>0.69384236099543783</v>
      </c>
      <c r="K61" s="21">
        <f t="shared" si="6"/>
        <v>0.9833869797597673</v>
      </c>
      <c r="L61" s="21">
        <f t="shared" si="7"/>
        <v>0.91267299999999996</v>
      </c>
      <c r="M61" s="21">
        <f t="shared" si="8"/>
        <v>0.78374335943769602</v>
      </c>
      <c r="N61" s="21">
        <f t="shared" si="9"/>
        <v>0.9875141797322291</v>
      </c>
      <c r="O61" s="21">
        <f t="shared" si="10"/>
        <v>0.93376244295015931</v>
      </c>
      <c r="P61" s="21">
        <f t="shared" si="11"/>
        <v>0.83297200492899992</v>
      </c>
      <c r="Q61" s="21">
        <f t="shared" si="12"/>
        <v>0.98999880941042806</v>
      </c>
      <c r="R61" s="21">
        <f t="shared" si="13"/>
        <v>0.94664930782047341</v>
      </c>
      <c r="S61" s="21">
        <f t="shared" si="14"/>
        <v>0.86398126371643491</v>
      </c>
      <c r="T61" s="21">
        <f t="shared" si="15"/>
        <v>0.99165870124744393</v>
      </c>
      <c r="U61" s="21">
        <f t="shared" si="16"/>
        <v>0.95533920677422213</v>
      </c>
      <c r="V61" s="21">
        <f t="shared" si="17"/>
        <v>0.88529280999999993</v>
      </c>
    </row>
    <row r="62" spans="1:22" x14ac:dyDescent="0.25">
      <c r="A62" t="str">
        <f>Tabelle2!A65</f>
        <v xml:space="preserve"> Crystal Wyvern Queen </v>
      </c>
      <c r="B62">
        <f>Tabelle2!$N65+(B$11*Tabelle2!$O65)</f>
        <v>5000</v>
      </c>
      <c r="C62">
        <f>Tabelle2!$N65+(C$11*Tabelle2!$O65)</f>
        <v>5000</v>
      </c>
      <c r="D62">
        <f>Tabelle2!$N65+(D$11*Tabelle2!$O65)</f>
        <v>5000</v>
      </c>
      <c r="E62" s="21">
        <f t="shared" si="0"/>
        <v>0.8587340256999999</v>
      </c>
      <c r="F62" s="21">
        <f t="shared" si="1"/>
        <v>0.8587340256999999</v>
      </c>
      <c r="G62" s="21">
        <f t="shared" si="2"/>
        <v>0.8587340256999999</v>
      </c>
      <c r="H62" s="21">
        <f t="shared" si="3"/>
        <v>0.92667903057099543</v>
      </c>
      <c r="I62" s="21">
        <f t="shared" si="4"/>
        <v>0.92667903057099543</v>
      </c>
      <c r="J62" s="21">
        <f t="shared" si="5"/>
        <v>0.92667903057099543</v>
      </c>
      <c r="K62" s="21">
        <f t="shared" si="6"/>
        <v>0.95050168357062925</v>
      </c>
      <c r="L62" s="21">
        <f t="shared" si="7"/>
        <v>0.95050168357062925</v>
      </c>
      <c r="M62" s="21">
        <f t="shared" si="8"/>
        <v>0.95050168357062925</v>
      </c>
      <c r="N62" s="21">
        <f t="shared" si="9"/>
        <v>0.96264169376305087</v>
      </c>
      <c r="O62" s="21">
        <f t="shared" si="10"/>
        <v>0.96264169376305087</v>
      </c>
      <c r="P62" s="21">
        <f t="shared" si="11"/>
        <v>0.96264169376305087</v>
      </c>
      <c r="Q62" s="21">
        <f t="shared" si="12"/>
        <v>0.97</v>
      </c>
      <c r="R62" s="21">
        <f t="shared" si="13"/>
        <v>0.97</v>
      </c>
      <c r="S62" s="21">
        <f t="shared" si="14"/>
        <v>0.97</v>
      </c>
      <c r="T62" s="21">
        <f t="shared" si="15"/>
        <v>0.97493675875444819</v>
      </c>
      <c r="U62" s="21">
        <f t="shared" si="16"/>
        <v>0.97493675875444819</v>
      </c>
      <c r="V62" s="21">
        <f t="shared" si="17"/>
        <v>0.97493675875444819</v>
      </c>
    </row>
    <row r="63" spans="1:22" x14ac:dyDescent="0.25">
      <c r="A63" t="str">
        <f>Tabelle2!A66</f>
        <v xml:space="preserve"> Crystal Wyvern Queen </v>
      </c>
      <c r="B63">
        <f>Tabelle2!$N66+(B$11*Tabelle2!$O66)</f>
        <v>5000</v>
      </c>
      <c r="C63">
        <f>Tabelle2!$N66+(C$11*Tabelle2!$O66)</f>
        <v>5000</v>
      </c>
      <c r="D63">
        <f>Tabelle2!$N66+(D$11*Tabelle2!$O66)</f>
        <v>5000</v>
      </c>
      <c r="E63" s="21">
        <f t="shared" si="0"/>
        <v>0.8587340256999999</v>
      </c>
      <c r="F63" s="21">
        <f t="shared" si="1"/>
        <v>0.8587340256999999</v>
      </c>
      <c r="G63" s="21">
        <f t="shared" si="2"/>
        <v>0.8587340256999999</v>
      </c>
      <c r="H63" s="21">
        <f t="shared" si="3"/>
        <v>0.92667903057099543</v>
      </c>
      <c r="I63" s="21">
        <f t="shared" si="4"/>
        <v>0.92667903057099543</v>
      </c>
      <c r="J63" s="21">
        <f t="shared" si="5"/>
        <v>0.92667903057099543</v>
      </c>
      <c r="K63" s="21">
        <f t="shared" si="6"/>
        <v>0.95050168357062925</v>
      </c>
      <c r="L63" s="21">
        <f t="shared" si="7"/>
        <v>0.95050168357062925</v>
      </c>
      <c r="M63" s="21">
        <f t="shared" si="8"/>
        <v>0.95050168357062925</v>
      </c>
      <c r="N63" s="21">
        <f t="shared" si="9"/>
        <v>0.96264169376305087</v>
      </c>
      <c r="O63" s="21">
        <f t="shared" si="10"/>
        <v>0.96264169376305087</v>
      </c>
      <c r="P63" s="21">
        <f t="shared" si="11"/>
        <v>0.96264169376305087</v>
      </c>
      <c r="Q63" s="21">
        <f t="shared" si="12"/>
        <v>0.97</v>
      </c>
      <c r="R63" s="21">
        <f t="shared" si="13"/>
        <v>0.97</v>
      </c>
      <c r="S63" s="21">
        <f t="shared" si="14"/>
        <v>0.97</v>
      </c>
      <c r="T63" s="21">
        <f t="shared" si="15"/>
        <v>0.97493675875444819</v>
      </c>
      <c r="U63" s="21">
        <f t="shared" si="16"/>
        <v>0.97493675875444819</v>
      </c>
      <c r="V63" s="21">
        <f t="shared" si="17"/>
        <v>0.97493675875444819</v>
      </c>
    </row>
    <row r="64" spans="1:22" x14ac:dyDescent="0.25">
      <c r="A64" t="str">
        <f>Tabelle2!A67</f>
        <v xml:space="preserve"> Crystal Wyvern Queen </v>
      </c>
      <c r="B64">
        <f>Tabelle2!$N67+(B$11*Tabelle2!$O67)</f>
        <v>5000</v>
      </c>
      <c r="C64">
        <f>Tabelle2!$N67+(C$11*Tabelle2!$O67)</f>
        <v>5000</v>
      </c>
      <c r="D64">
        <f>Tabelle2!$N67+(D$11*Tabelle2!$O67)</f>
        <v>5000</v>
      </c>
      <c r="E64" s="21">
        <f t="shared" si="0"/>
        <v>0.8587340256999999</v>
      </c>
      <c r="F64" s="21">
        <f t="shared" si="1"/>
        <v>0.8587340256999999</v>
      </c>
      <c r="G64" s="21">
        <f t="shared" si="2"/>
        <v>0.8587340256999999</v>
      </c>
      <c r="H64" s="21">
        <f t="shared" si="3"/>
        <v>0.92667903057099543</v>
      </c>
      <c r="I64" s="21">
        <f t="shared" si="4"/>
        <v>0.92667903057099543</v>
      </c>
      <c r="J64" s="21">
        <f t="shared" si="5"/>
        <v>0.92667903057099543</v>
      </c>
      <c r="K64" s="21">
        <f t="shared" si="6"/>
        <v>0.95050168357062925</v>
      </c>
      <c r="L64" s="21">
        <f t="shared" si="7"/>
        <v>0.95050168357062925</v>
      </c>
      <c r="M64" s="21">
        <f t="shared" si="8"/>
        <v>0.95050168357062925</v>
      </c>
      <c r="N64" s="21">
        <f t="shared" si="9"/>
        <v>0.96264169376305087</v>
      </c>
      <c r="O64" s="21">
        <f t="shared" si="10"/>
        <v>0.96264169376305087</v>
      </c>
      <c r="P64" s="21">
        <f t="shared" si="11"/>
        <v>0.96264169376305087</v>
      </c>
      <c r="Q64" s="21">
        <f t="shared" si="12"/>
        <v>0.97</v>
      </c>
      <c r="R64" s="21">
        <f t="shared" si="13"/>
        <v>0.97</v>
      </c>
      <c r="S64" s="21">
        <f t="shared" si="14"/>
        <v>0.97</v>
      </c>
      <c r="T64" s="21">
        <f t="shared" si="15"/>
        <v>0.97493675875444819</v>
      </c>
      <c r="U64" s="21">
        <f t="shared" si="16"/>
        <v>0.97493675875444819</v>
      </c>
      <c r="V64" s="21">
        <f t="shared" si="17"/>
        <v>0.97493675875444819</v>
      </c>
    </row>
    <row r="65" spans="1:22" x14ac:dyDescent="0.25">
      <c r="A65" t="str">
        <f>Tabelle2!A68</f>
        <v xml:space="preserve"> Daeodon</v>
      </c>
      <c r="B65">
        <f>Tabelle2!$N68+(B$11*Tabelle2!$O68)</f>
        <v>2750</v>
      </c>
      <c r="C65">
        <f>Tabelle2!$N68+(C$11*Tabelle2!$O68)</f>
        <v>15000</v>
      </c>
      <c r="D65">
        <f>Tabelle2!$N68+(D$11*Tabelle2!$O68)</f>
        <v>40000</v>
      </c>
      <c r="E65" s="21">
        <f t="shared" si="0"/>
        <v>0.91964935212738663</v>
      </c>
      <c r="F65" s="21">
        <f t="shared" si="1"/>
        <v>0.63325118913678924</v>
      </c>
      <c r="G65" s="21">
        <f t="shared" si="2"/>
        <v>0.29571228739913263</v>
      </c>
      <c r="H65" s="21">
        <f t="shared" si="3"/>
        <v>0.95898349940308492</v>
      </c>
      <c r="I65" s="21">
        <f t="shared" si="4"/>
        <v>0.79577081445400422</v>
      </c>
      <c r="J65" s="21">
        <f t="shared" si="5"/>
        <v>0.54379434292674711</v>
      </c>
      <c r="K65" s="21">
        <f t="shared" si="6"/>
        <v>0.97246524667558931</v>
      </c>
      <c r="L65" s="21">
        <f t="shared" si="7"/>
        <v>0.8587340256999999</v>
      </c>
      <c r="M65" s="21">
        <f t="shared" si="8"/>
        <v>0.66622837190349271</v>
      </c>
      <c r="N65" s="21">
        <f t="shared" si="9"/>
        <v>0.97927702893669721</v>
      </c>
      <c r="O65" s="21">
        <f t="shared" si="10"/>
        <v>0.89205987156356503</v>
      </c>
      <c r="P65" s="21">
        <f t="shared" si="11"/>
        <v>0.7374241268949282</v>
      </c>
      <c r="Q65" s="21">
        <f t="shared" si="12"/>
        <v>0.9833869797597673</v>
      </c>
      <c r="R65" s="21">
        <f t="shared" si="13"/>
        <v>0.91267299999999996</v>
      </c>
      <c r="S65" s="21">
        <f t="shared" si="14"/>
        <v>0.78374335943769602</v>
      </c>
      <c r="T65" s="21">
        <f t="shared" si="15"/>
        <v>0.98613652537343388</v>
      </c>
      <c r="U65" s="21">
        <f t="shared" si="16"/>
        <v>0.92667903057099543</v>
      </c>
      <c r="V65" s="21">
        <f t="shared" si="17"/>
        <v>0.81622813716723386</v>
      </c>
    </row>
    <row r="66" spans="1:22" x14ac:dyDescent="0.25">
      <c r="A66" t="str">
        <f>Tabelle2!A69</f>
        <v xml:space="preserve"> Deathworm</v>
      </c>
      <c r="B66">
        <f>Tabelle2!$N69+(B$11*Tabelle2!$O69)</f>
        <v>110</v>
      </c>
      <c r="C66">
        <f>Tabelle2!$N69+(C$11*Tabelle2!$O69)</f>
        <v>600</v>
      </c>
      <c r="D66">
        <f>Tabelle2!$N69+(D$11*Tabelle2!$O69)</f>
        <v>1600</v>
      </c>
      <c r="E66" s="21">
        <f t="shared" si="0"/>
        <v>0.99665509388124518</v>
      </c>
      <c r="F66" s="21">
        <f t="shared" si="1"/>
        <v>0.98189046021628945</v>
      </c>
      <c r="G66" s="21">
        <f t="shared" si="2"/>
        <v>0.95243374640980072</v>
      </c>
      <c r="H66" s="21">
        <f t="shared" si="3"/>
        <v>0.9983261460470948</v>
      </c>
      <c r="I66" s="21">
        <f t="shared" si="4"/>
        <v>0.99090386022877586</v>
      </c>
      <c r="J66" s="21">
        <f t="shared" si="5"/>
        <v>0.97592712146440563</v>
      </c>
      <c r="K66" s="21">
        <f t="shared" si="6"/>
        <v>0.99888378582323645</v>
      </c>
      <c r="L66" s="21">
        <f t="shared" si="7"/>
        <v>0.99392667614820274</v>
      </c>
      <c r="M66" s="21">
        <f t="shared" si="8"/>
        <v>0.98388632629744599</v>
      </c>
      <c r="N66" s="21">
        <f t="shared" si="9"/>
        <v>0.99916272250674698</v>
      </c>
      <c r="O66" s="21">
        <f t="shared" si="10"/>
        <v>0.99544154033713894</v>
      </c>
      <c r="P66" s="21">
        <f t="shared" si="11"/>
        <v>0.98789023755901428</v>
      </c>
      <c r="Q66" s="21">
        <f t="shared" si="12"/>
        <v>0.99933012190391823</v>
      </c>
      <c r="R66" s="21">
        <f t="shared" si="13"/>
        <v>0.9963515668666012</v>
      </c>
      <c r="S66" s="21">
        <f t="shared" si="14"/>
        <v>0.99030040113077478</v>
      </c>
      <c r="T66" s="21">
        <f t="shared" si="15"/>
        <v>0.99944173708287587</v>
      </c>
      <c r="U66" s="21">
        <f t="shared" si="16"/>
        <v>0.99695871336189379</v>
      </c>
      <c r="V66" s="21">
        <f t="shared" si="17"/>
        <v>0.99191044267990547</v>
      </c>
    </row>
    <row r="67" spans="1:22" x14ac:dyDescent="0.25">
      <c r="A67" t="str">
        <f>Tabelle2!A70</f>
        <v xml:space="preserve"> Defense Unit </v>
      </c>
      <c r="B67">
        <f>Tabelle2!$N70+(B$11*Tabelle2!$O70)</f>
        <v>3000</v>
      </c>
      <c r="C67">
        <f>Tabelle2!$N70+(C$11*Tabelle2!$O70)</f>
        <v>3000</v>
      </c>
      <c r="D67">
        <f>Tabelle2!$N70+(D$11*Tabelle2!$O70)</f>
        <v>3000</v>
      </c>
      <c r="E67" s="21">
        <f t="shared" si="0"/>
        <v>0.91267299999999996</v>
      </c>
      <c r="F67" s="21">
        <f t="shared" si="1"/>
        <v>0.91267299999999996</v>
      </c>
      <c r="G67" s="21">
        <f t="shared" si="2"/>
        <v>0.91267299999999996</v>
      </c>
      <c r="H67" s="21">
        <f t="shared" si="3"/>
        <v>0.95533920677422213</v>
      </c>
      <c r="I67" s="21">
        <f t="shared" si="4"/>
        <v>0.95533920677422213</v>
      </c>
      <c r="J67" s="21">
        <f t="shared" si="5"/>
        <v>0.95533920677422213</v>
      </c>
      <c r="K67" s="21">
        <f t="shared" si="6"/>
        <v>0.97</v>
      </c>
      <c r="L67" s="21">
        <f t="shared" si="7"/>
        <v>0.97</v>
      </c>
      <c r="M67" s="21">
        <f t="shared" si="8"/>
        <v>0.97</v>
      </c>
      <c r="N67" s="21">
        <f t="shared" si="9"/>
        <v>0.97741455216004536</v>
      </c>
      <c r="O67" s="21">
        <f t="shared" si="10"/>
        <v>0.97741455216004536</v>
      </c>
      <c r="P67" s="21">
        <f t="shared" si="11"/>
        <v>0.97741455216004536</v>
      </c>
      <c r="Q67" s="21">
        <f t="shared" si="12"/>
        <v>0.98189046021628945</v>
      </c>
      <c r="R67" s="21">
        <f t="shared" si="13"/>
        <v>0.98189046021628945</v>
      </c>
      <c r="S67" s="21">
        <f t="shared" si="14"/>
        <v>0.98189046021628945</v>
      </c>
      <c r="T67" s="21">
        <f t="shared" si="15"/>
        <v>0.98488578017961048</v>
      </c>
      <c r="U67" s="21">
        <f t="shared" si="16"/>
        <v>0.98488578017961048</v>
      </c>
      <c r="V67" s="21">
        <f t="shared" si="17"/>
        <v>0.98488578017961048</v>
      </c>
    </row>
    <row r="68" spans="1:22" x14ac:dyDescent="0.25">
      <c r="A68" t="str">
        <f>Tabelle2!A71</f>
        <v xml:space="preserve"> Defense Unit </v>
      </c>
      <c r="B68">
        <f>Tabelle2!$N71+(B$11*Tabelle2!$O71)</f>
        <v>3000</v>
      </c>
      <c r="C68">
        <f>Tabelle2!$N71+(C$11*Tabelle2!$O71)</f>
        <v>3000</v>
      </c>
      <c r="D68">
        <f>Tabelle2!$N71+(D$11*Tabelle2!$O71)</f>
        <v>3000</v>
      </c>
      <c r="E68" s="21">
        <f t="shared" si="0"/>
        <v>0.91267299999999996</v>
      </c>
      <c r="F68" s="21">
        <f t="shared" si="1"/>
        <v>0.91267299999999996</v>
      </c>
      <c r="G68" s="21">
        <f t="shared" si="2"/>
        <v>0.91267299999999996</v>
      </c>
      <c r="H68" s="21">
        <f t="shared" si="3"/>
        <v>0.95533920677422213</v>
      </c>
      <c r="I68" s="21">
        <f t="shared" si="4"/>
        <v>0.95533920677422213</v>
      </c>
      <c r="J68" s="21">
        <f t="shared" si="5"/>
        <v>0.95533920677422213</v>
      </c>
      <c r="K68" s="21">
        <f t="shared" si="6"/>
        <v>0.97</v>
      </c>
      <c r="L68" s="21">
        <f t="shared" si="7"/>
        <v>0.97</v>
      </c>
      <c r="M68" s="21">
        <f t="shared" si="8"/>
        <v>0.97</v>
      </c>
      <c r="N68" s="21">
        <f t="shared" si="9"/>
        <v>0.97741455216004536</v>
      </c>
      <c r="O68" s="21">
        <f t="shared" si="10"/>
        <v>0.97741455216004536</v>
      </c>
      <c r="P68" s="21">
        <f t="shared" si="11"/>
        <v>0.97741455216004536</v>
      </c>
      <c r="Q68" s="21">
        <f t="shared" si="12"/>
        <v>0.98189046021628945</v>
      </c>
      <c r="R68" s="21">
        <f t="shared" si="13"/>
        <v>0.98189046021628945</v>
      </c>
      <c r="S68" s="21">
        <f t="shared" si="14"/>
        <v>0.98189046021628945</v>
      </c>
      <c r="T68" s="21">
        <f t="shared" si="15"/>
        <v>0.98488578017961048</v>
      </c>
      <c r="U68" s="21">
        <f t="shared" si="16"/>
        <v>0.98488578017961048</v>
      </c>
      <c r="V68" s="21">
        <f t="shared" si="17"/>
        <v>0.98488578017961048</v>
      </c>
    </row>
    <row r="69" spans="1:22" x14ac:dyDescent="0.25">
      <c r="A69" t="str">
        <f>Tabelle2!A72</f>
        <v xml:space="preserve"> Defense Unit </v>
      </c>
      <c r="B69">
        <f>Tabelle2!$N72+(B$11*Tabelle2!$O72)</f>
        <v>3000</v>
      </c>
      <c r="C69">
        <f>Tabelle2!$N72+(C$11*Tabelle2!$O72)</f>
        <v>3000</v>
      </c>
      <c r="D69">
        <f>Tabelle2!$N72+(D$11*Tabelle2!$O72)</f>
        <v>3000</v>
      </c>
      <c r="E69" s="21">
        <f t="shared" si="0"/>
        <v>0.91267299999999996</v>
      </c>
      <c r="F69" s="21">
        <f t="shared" si="1"/>
        <v>0.91267299999999996</v>
      </c>
      <c r="G69" s="21">
        <f t="shared" si="2"/>
        <v>0.91267299999999996</v>
      </c>
      <c r="H69" s="21">
        <f t="shared" si="3"/>
        <v>0.95533920677422213</v>
      </c>
      <c r="I69" s="21">
        <f t="shared" si="4"/>
        <v>0.95533920677422213</v>
      </c>
      <c r="J69" s="21">
        <f t="shared" si="5"/>
        <v>0.95533920677422213</v>
      </c>
      <c r="K69" s="21">
        <f t="shared" si="6"/>
        <v>0.97</v>
      </c>
      <c r="L69" s="21">
        <f t="shared" si="7"/>
        <v>0.97</v>
      </c>
      <c r="M69" s="21">
        <f t="shared" si="8"/>
        <v>0.97</v>
      </c>
      <c r="N69" s="21">
        <f t="shared" si="9"/>
        <v>0.97741455216004536</v>
      </c>
      <c r="O69" s="21">
        <f t="shared" si="10"/>
        <v>0.97741455216004536</v>
      </c>
      <c r="P69" s="21">
        <f t="shared" si="11"/>
        <v>0.97741455216004536</v>
      </c>
      <c r="Q69" s="21">
        <f t="shared" si="12"/>
        <v>0.98189046021628945</v>
      </c>
      <c r="R69" s="21">
        <f t="shared" si="13"/>
        <v>0.98189046021628945</v>
      </c>
      <c r="S69" s="21">
        <f t="shared" si="14"/>
        <v>0.98189046021628945</v>
      </c>
      <c r="T69" s="21">
        <f t="shared" si="15"/>
        <v>0.98488578017961048</v>
      </c>
      <c r="U69" s="21">
        <f t="shared" si="16"/>
        <v>0.98488578017961048</v>
      </c>
      <c r="V69" s="21">
        <f t="shared" si="17"/>
        <v>0.98488578017961048</v>
      </c>
    </row>
    <row r="70" spans="1:22" x14ac:dyDescent="0.25">
      <c r="A70" t="str">
        <f>Tabelle2!A85</f>
        <v xml:space="preserve"> Deinonychus</v>
      </c>
      <c r="B70">
        <f>Tabelle2!$N85+(B$11*Tabelle2!$O85)</f>
        <v>1320</v>
      </c>
      <c r="C70">
        <f>Tabelle2!$N85+(C$11*Tabelle2!$O85)</f>
        <v>7200</v>
      </c>
      <c r="D70">
        <f>Tabelle2!$N85+(D$11*Tabelle2!$O85)</f>
        <v>19200</v>
      </c>
      <c r="E70" s="21">
        <f t="shared" si="0"/>
        <v>0.96059138909685149</v>
      </c>
      <c r="F70" s="21">
        <f t="shared" si="1"/>
        <v>0.80307570329807754</v>
      </c>
      <c r="G70" s="21">
        <f t="shared" si="2"/>
        <v>0.55720794203440982</v>
      </c>
      <c r="H70" s="21">
        <f t="shared" si="3"/>
        <v>0.98009764263406507</v>
      </c>
      <c r="I70" s="21">
        <f t="shared" si="4"/>
        <v>0.89614491199698143</v>
      </c>
      <c r="J70" s="21">
        <f t="shared" si="5"/>
        <v>0.74646362405304778</v>
      </c>
      <c r="K70" s="21">
        <f t="shared" si="6"/>
        <v>0.98668735633527116</v>
      </c>
      <c r="L70" s="21">
        <f t="shared" si="7"/>
        <v>0.92950592451927649</v>
      </c>
      <c r="M70" s="21">
        <f t="shared" si="8"/>
        <v>0.82288491182931811</v>
      </c>
      <c r="N70" s="21">
        <f t="shared" si="9"/>
        <v>0.98999880941042806</v>
      </c>
      <c r="O70" s="21">
        <f t="shared" si="10"/>
        <v>0.94664930782047341</v>
      </c>
      <c r="P70" s="21">
        <f t="shared" si="11"/>
        <v>0.86398126371643491</v>
      </c>
      <c r="Q70" s="21">
        <f t="shared" si="12"/>
        <v>0.9919910134346358</v>
      </c>
      <c r="R70" s="21">
        <f t="shared" si="13"/>
        <v>0.95708673564521296</v>
      </c>
      <c r="S70" s="21">
        <f t="shared" si="14"/>
        <v>0.88961779106104</v>
      </c>
      <c r="T70" s="21">
        <f t="shared" si="15"/>
        <v>0.99332137615943372</v>
      </c>
      <c r="U70" s="21">
        <f t="shared" si="16"/>
        <v>0.9641088758637566</v>
      </c>
      <c r="V70" s="21">
        <f t="shared" si="17"/>
        <v>0.90713004130020858</v>
      </c>
    </row>
    <row r="71" spans="1:22" x14ac:dyDescent="0.25">
      <c r="A71" t="str">
        <f>Tabelle2!A86</f>
        <v xml:space="preserve"> Desert Titan Flock </v>
      </c>
      <c r="B71">
        <f>Tabelle2!$N86+(B$11*Tabelle2!$O86)</f>
        <v>100</v>
      </c>
      <c r="C71">
        <f>Tabelle2!$N86+(C$11*Tabelle2!$O86)</f>
        <v>100</v>
      </c>
      <c r="D71">
        <f>Tabelle2!$N86+(D$11*Tabelle2!$O86)</f>
        <v>100</v>
      </c>
      <c r="E71" s="21">
        <f t="shared" si="0"/>
        <v>0.99695871336189379</v>
      </c>
      <c r="F71" s="21">
        <f t="shared" si="1"/>
        <v>0.99695871336189379</v>
      </c>
      <c r="G71" s="21">
        <f t="shared" si="2"/>
        <v>0.99695871336189379</v>
      </c>
      <c r="H71" s="21">
        <f t="shared" si="3"/>
        <v>0.99847819874141153</v>
      </c>
      <c r="I71" s="21">
        <f t="shared" si="4"/>
        <v>0.99847819874141153</v>
      </c>
      <c r="J71" s="21">
        <f t="shared" si="5"/>
        <v>0.99847819874141153</v>
      </c>
      <c r="K71" s="21">
        <f t="shared" si="6"/>
        <v>0.99898520833351645</v>
      </c>
      <c r="L71" s="21">
        <f t="shared" si="7"/>
        <v>0.99898520833351645</v>
      </c>
      <c r="M71" s="21">
        <f t="shared" si="8"/>
        <v>0.99898520833351645</v>
      </c>
      <c r="N71" s="21">
        <f t="shared" si="9"/>
        <v>0.99923880966534295</v>
      </c>
      <c r="O71" s="21">
        <f t="shared" si="10"/>
        <v>0.99923880966534295</v>
      </c>
      <c r="P71" s="21">
        <f t="shared" si="11"/>
        <v>0.99923880966534295</v>
      </c>
      <c r="Q71" s="21">
        <f t="shared" si="12"/>
        <v>0.99939100136529713</v>
      </c>
      <c r="R71" s="21">
        <f t="shared" si="13"/>
        <v>0.99939100136529713</v>
      </c>
      <c r="S71" s="21">
        <f t="shared" si="14"/>
        <v>0.99939100136529713</v>
      </c>
      <c r="T71" s="21">
        <f t="shared" si="15"/>
        <v>0.99949247537613628</v>
      </c>
      <c r="U71" s="21">
        <f t="shared" si="16"/>
        <v>0.99949247537613628</v>
      </c>
      <c r="V71" s="21">
        <f t="shared" si="17"/>
        <v>0.99949247537613628</v>
      </c>
    </row>
    <row r="72" spans="1:22" x14ac:dyDescent="0.25">
      <c r="A72" t="str">
        <f>Tabelle2!A88</f>
        <v xml:space="preserve"> Desert Titan </v>
      </c>
      <c r="B72">
        <f>Tabelle2!$N88+(B$11*Tabelle2!$O88)</f>
        <v>864</v>
      </c>
      <c r="C72">
        <f>Tabelle2!$N88+(C$11*Tabelle2!$O88)</f>
        <v>864</v>
      </c>
      <c r="D72">
        <f>Tabelle2!$N88+(D$11*Tabelle2!$O88)</f>
        <v>864</v>
      </c>
      <c r="E72" s="21">
        <f t="shared" si="0"/>
        <v>0.97402651271175789</v>
      </c>
      <c r="F72" s="21">
        <f t="shared" si="1"/>
        <v>0.97402651271175789</v>
      </c>
      <c r="G72" s="21">
        <f t="shared" si="2"/>
        <v>0.97402651271175789</v>
      </c>
      <c r="H72" s="21">
        <f t="shared" si="3"/>
        <v>0.98692781535011864</v>
      </c>
      <c r="I72" s="21">
        <f t="shared" si="4"/>
        <v>0.98692781535011864</v>
      </c>
      <c r="J72" s="21">
        <f t="shared" si="5"/>
        <v>0.98692781535011864</v>
      </c>
      <c r="K72" s="21">
        <f t="shared" si="6"/>
        <v>0.99126611218350091</v>
      </c>
      <c r="L72" s="21">
        <f t="shared" si="7"/>
        <v>0.99126611218350091</v>
      </c>
      <c r="M72" s="21">
        <f t="shared" si="8"/>
        <v>0.99126611218350091</v>
      </c>
      <c r="N72" s="21">
        <f t="shared" si="9"/>
        <v>0.99344240665985195</v>
      </c>
      <c r="O72" s="21">
        <f t="shared" si="10"/>
        <v>0.99344240665985195</v>
      </c>
      <c r="P72" s="21">
        <f t="shared" si="11"/>
        <v>0.99344240665985195</v>
      </c>
      <c r="Q72" s="21">
        <f t="shared" si="12"/>
        <v>0.99475047610909118</v>
      </c>
      <c r="R72" s="21">
        <f t="shared" si="13"/>
        <v>0.99475047610909118</v>
      </c>
      <c r="S72" s="21">
        <f t="shared" si="14"/>
        <v>0.99475047610909118</v>
      </c>
      <c r="T72" s="21">
        <f t="shared" si="15"/>
        <v>0.99562347912426252</v>
      </c>
      <c r="U72" s="21">
        <f t="shared" si="16"/>
        <v>0.99562347912426252</v>
      </c>
      <c r="V72" s="21">
        <f t="shared" si="17"/>
        <v>0.99562347912426252</v>
      </c>
    </row>
    <row r="73" spans="1:22" x14ac:dyDescent="0.25">
      <c r="A73" t="str">
        <f>Tabelle2!A89</f>
        <v xml:space="preserve"> Desmodus</v>
      </c>
      <c r="B73">
        <f>Tabelle2!$N89+(B$11*Tabelle2!$O89)</f>
        <v>1760</v>
      </c>
      <c r="C73">
        <f>Tabelle2!$N89+(C$11*Tabelle2!$O89)</f>
        <v>9600</v>
      </c>
      <c r="D73">
        <f>Tabelle2!$N89+(D$11*Tabelle2!$O89)</f>
        <v>25600</v>
      </c>
      <c r="E73" s="21">
        <f t="shared" si="0"/>
        <v>0.94780337822639815</v>
      </c>
      <c r="F73" s="21">
        <f t="shared" si="1"/>
        <v>0.74646362405304778</v>
      </c>
      <c r="G73" s="21">
        <f t="shared" si="2"/>
        <v>0.45851800825158107</v>
      </c>
      <c r="H73" s="21">
        <f t="shared" si="3"/>
        <v>0.97355193915188631</v>
      </c>
      <c r="I73" s="21">
        <f t="shared" si="4"/>
        <v>0.86398126371643491</v>
      </c>
      <c r="J73" s="21">
        <f t="shared" si="5"/>
        <v>0.67713957811634451</v>
      </c>
      <c r="K73" s="21">
        <f t="shared" si="6"/>
        <v>0.98228930927171476</v>
      </c>
      <c r="L73" s="21">
        <f t="shared" si="7"/>
        <v>0.90713004130020858</v>
      </c>
      <c r="M73" s="21">
        <f t="shared" si="8"/>
        <v>0.77111437467717336</v>
      </c>
      <c r="N73" s="21">
        <f t="shared" si="9"/>
        <v>0.98668735633527116</v>
      </c>
      <c r="O73" s="21">
        <f t="shared" si="10"/>
        <v>0.92950592451927649</v>
      </c>
      <c r="P73" s="21">
        <f t="shared" si="11"/>
        <v>0.82288491182931811</v>
      </c>
      <c r="Q73" s="21">
        <f t="shared" si="12"/>
        <v>0.98933563089285692</v>
      </c>
      <c r="R73" s="21">
        <f t="shared" si="13"/>
        <v>0.94319552112011218</v>
      </c>
      <c r="S73" s="21">
        <f t="shared" si="14"/>
        <v>0.85560099202785911</v>
      </c>
      <c r="T73" s="21">
        <f t="shared" si="15"/>
        <v>0.99110509496809407</v>
      </c>
      <c r="U73" s="21">
        <f t="shared" si="16"/>
        <v>0.95243374640980072</v>
      </c>
      <c r="V73" s="21">
        <f t="shared" si="17"/>
        <v>0.87813118306843729</v>
      </c>
    </row>
    <row r="74" spans="1:22" x14ac:dyDescent="0.25">
      <c r="A74" t="str">
        <f>Tabelle2!A90</f>
        <v xml:space="preserve"> Dilophosaur</v>
      </c>
      <c r="B74">
        <f>Tabelle2!$N90+(B$11*Tabelle2!$O90)</f>
        <v>495</v>
      </c>
      <c r="C74">
        <f>Tabelle2!$N90+(C$11*Tabelle2!$O90)</f>
        <v>2700</v>
      </c>
      <c r="D74">
        <f>Tabelle2!$N90+(D$11*Tabelle2!$O90)</f>
        <v>7200</v>
      </c>
      <c r="E74" s="21">
        <f t="shared" si="0"/>
        <v>0.98503578580358775</v>
      </c>
      <c r="F74" s="21">
        <f t="shared" si="1"/>
        <v>0.92105100871166823</v>
      </c>
      <c r="G74" s="21">
        <f t="shared" si="2"/>
        <v>0.80307570329807754</v>
      </c>
      <c r="H74" s="21">
        <f t="shared" si="3"/>
        <v>0.99248969052760827</v>
      </c>
      <c r="I74" s="21">
        <f t="shared" si="4"/>
        <v>0.9597140244425254</v>
      </c>
      <c r="J74" s="21">
        <f t="shared" si="5"/>
        <v>0.89614491199698143</v>
      </c>
      <c r="K74" s="21">
        <f t="shared" si="6"/>
        <v>0.99498683881266892</v>
      </c>
      <c r="L74" s="21">
        <f t="shared" si="7"/>
        <v>0.9729590473501305</v>
      </c>
      <c r="M74" s="21">
        <f t="shared" si="8"/>
        <v>0.92950592451927649</v>
      </c>
      <c r="N74" s="21">
        <f t="shared" si="9"/>
        <v>0.99623776806925379</v>
      </c>
      <c r="O74" s="21">
        <f t="shared" si="10"/>
        <v>0.97964994995280097</v>
      </c>
      <c r="P74" s="21">
        <f t="shared" si="11"/>
        <v>0.94664930782047341</v>
      </c>
      <c r="Q74" s="21">
        <f t="shared" si="12"/>
        <v>0.99698908039667333</v>
      </c>
      <c r="R74" s="21">
        <f t="shared" si="13"/>
        <v>0.98368655726246035</v>
      </c>
      <c r="S74" s="21">
        <f t="shared" si="14"/>
        <v>0.95708673564521296</v>
      </c>
      <c r="T74" s="21">
        <f t="shared" si="15"/>
        <v>0.99749027003408353</v>
      </c>
      <c r="U74" s="21">
        <f t="shared" si="16"/>
        <v>0.98638686495214978</v>
      </c>
      <c r="V74" s="21">
        <f t="shared" si="17"/>
        <v>0.9641088758637566</v>
      </c>
    </row>
    <row r="75" spans="1:22" x14ac:dyDescent="0.25">
      <c r="A75" t="str">
        <f>Tabelle2!A91</f>
        <v xml:space="preserve"> Dimetrodon</v>
      </c>
      <c r="B75">
        <f>Tabelle2!$N91+(B$11*Tabelle2!$O91)</f>
        <v>1650</v>
      </c>
      <c r="C75">
        <f>Tabelle2!$N91+(C$11*Tabelle2!$O91)</f>
        <v>9000</v>
      </c>
      <c r="D75">
        <f>Tabelle2!$N91+(D$11*Tabelle2!$O91)</f>
        <v>24000</v>
      </c>
      <c r="E75" s="21">
        <f t="shared" si="0"/>
        <v>0.9509843315357922</v>
      </c>
      <c r="F75" s="21">
        <f t="shared" si="1"/>
        <v>0.76023105865456508</v>
      </c>
      <c r="G75" s="21">
        <f t="shared" si="2"/>
        <v>0.48141722191172354</v>
      </c>
      <c r="H75" s="21">
        <f t="shared" si="3"/>
        <v>0.9751842551722173</v>
      </c>
      <c r="I75" s="21">
        <f t="shared" si="4"/>
        <v>0.87191229986424956</v>
      </c>
      <c r="J75" s="21">
        <f t="shared" si="5"/>
        <v>0.69384236099543783</v>
      </c>
      <c r="K75" s="21">
        <f t="shared" si="6"/>
        <v>0.9833869797597673</v>
      </c>
      <c r="L75" s="21">
        <f t="shared" si="7"/>
        <v>0.91267299999999996</v>
      </c>
      <c r="M75" s="21">
        <f t="shared" si="8"/>
        <v>0.78374335943769602</v>
      </c>
      <c r="N75" s="21">
        <f t="shared" si="9"/>
        <v>0.9875141797322291</v>
      </c>
      <c r="O75" s="21">
        <f t="shared" si="10"/>
        <v>0.93376244295015931</v>
      </c>
      <c r="P75" s="21">
        <f t="shared" si="11"/>
        <v>0.83297200492899992</v>
      </c>
      <c r="Q75" s="21">
        <f t="shared" si="12"/>
        <v>0.98999880941042806</v>
      </c>
      <c r="R75" s="21">
        <f t="shared" si="13"/>
        <v>0.94664930782047341</v>
      </c>
      <c r="S75" s="21">
        <f t="shared" si="14"/>
        <v>0.86398126371643491</v>
      </c>
      <c r="T75" s="21">
        <f t="shared" si="15"/>
        <v>0.99165870124744393</v>
      </c>
      <c r="U75" s="21">
        <f t="shared" si="16"/>
        <v>0.95533920677422213</v>
      </c>
      <c r="V75" s="21">
        <f t="shared" si="17"/>
        <v>0.88529280999999993</v>
      </c>
    </row>
    <row r="76" spans="1:22" x14ac:dyDescent="0.25">
      <c r="A76" t="str">
        <f>Tabelle2!A92</f>
        <v xml:space="preserve"> Dimorphodon</v>
      </c>
      <c r="B76">
        <f>Tabelle2!$N92+(B$11*Tabelle2!$O92)</f>
        <v>990</v>
      </c>
      <c r="C76">
        <f>Tabelle2!$N92+(C$11*Tabelle2!$O92)</f>
        <v>5400</v>
      </c>
      <c r="D76">
        <f>Tabelle2!$N92+(D$11*Tabelle2!$O92)</f>
        <v>14400</v>
      </c>
      <c r="E76" s="21">
        <f t="shared" si="0"/>
        <v>0.97029549931369152</v>
      </c>
      <c r="F76" s="21">
        <f t="shared" si="1"/>
        <v>0.84833496064878156</v>
      </c>
      <c r="G76" s="21">
        <f t="shared" si="2"/>
        <v>0.64493058522770197</v>
      </c>
      <c r="H76" s="21">
        <f t="shared" si="3"/>
        <v>0.98503578580358775</v>
      </c>
      <c r="I76" s="21">
        <f t="shared" si="4"/>
        <v>0.92105100871166823</v>
      </c>
      <c r="J76" s="21">
        <f t="shared" si="5"/>
        <v>0.80307570329807754</v>
      </c>
      <c r="K76" s="21">
        <f t="shared" si="6"/>
        <v>0.98999880941042806</v>
      </c>
      <c r="L76" s="21">
        <f t="shared" si="7"/>
        <v>0.94664930782047341</v>
      </c>
      <c r="M76" s="21">
        <f t="shared" si="8"/>
        <v>0.86398126371643491</v>
      </c>
      <c r="N76" s="21">
        <f t="shared" si="9"/>
        <v>0.99248969052760827</v>
      </c>
      <c r="O76" s="21">
        <f t="shared" si="10"/>
        <v>0.9597140244425254</v>
      </c>
      <c r="P76" s="21">
        <f t="shared" si="11"/>
        <v>0.89614491199698143</v>
      </c>
      <c r="Q76" s="21">
        <f t="shared" si="12"/>
        <v>0.99398722643020432</v>
      </c>
      <c r="R76" s="21">
        <f t="shared" si="13"/>
        <v>0.96763924293887171</v>
      </c>
      <c r="S76" s="21">
        <f t="shared" si="14"/>
        <v>0.91601501954800979</v>
      </c>
      <c r="T76" s="21">
        <f t="shared" si="15"/>
        <v>0.99498683881266892</v>
      </c>
      <c r="U76" s="21">
        <f t="shared" si="16"/>
        <v>0.9729590473501305</v>
      </c>
      <c r="V76" s="21">
        <f t="shared" si="17"/>
        <v>0.92950592451927649</v>
      </c>
    </row>
    <row r="77" spans="1:22" x14ac:dyDescent="0.25">
      <c r="A77" t="str">
        <f>Tabelle2!A93</f>
        <v xml:space="preserve"> Dinopithecus</v>
      </c>
      <c r="B77">
        <f>Tabelle2!$N93+(B$11*Tabelle2!$O93)</f>
        <v>1320</v>
      </c>
      <c r="C77">
        <f>Tabelle2!$N93+(C$11*Tabelle2!$O93)</f>
        <v>7200</v>
      </c>
      <c r="D77">
        <f>Tabelle2!$N93+(D$11*Tabelle2!$O93)</f>
        <v>19200</v>
      </c>
      <c r="E77" s="21">
        <f t="shared" ref="E77:E140" si="18">POWER($C$2,$B77/$B$2)</f>
        <v>0.96059138909685149</v>
      </c>
      <c r="F77" s="21">
        <f t="shared" ref="F77:F140" si="19">POWER($C$2,$C77/$B$2)</f>
        <v>0.80307570329807754</v>
      </c>
      <c r="G77" s="21">
        <f t="shared" ref="G77:G140" si="20">POWER($C$2,$D77/$B$2)</f>
        <v>0.55720794203440982</v>
      </c>
      <c r="H77" s="21">
        <f t="shared" ref="H77:H140" si="21">POWER($C$3,$B77/$B$3)</f>
        <v>0.98009764263406507</v>
      </c>
      <c r="I77" s="21">
        <f t="shared" ref="I77:I140" si="22">POWER($C$3,$C77/$B$3)</f>
        <v>0.89614491199698143</v>
      </c>
      <c r="J77" s="21">
        <f t="shared" ref="J77:J140" si="23">POWER($C$3,$D77/$B$3)</f>
        <v>0.74646362405304778</v>
      </c>
      <c r="K77" s="21">
        <f t="shared" ref="K77:K140" si="24">POWER($C$4,$B77/$B$4)</f>
        <v>0.98668735633527116</v>
      </c>
      <c r="L77" s="21">
        <f t="shared" ref="L77:L140" si="25">POWER($C$4,$C77/$B$4)</f>
        <v>0.92950592451927649</v>
      </c>
      <c r="M77" s="21">
        <f t="shared" ref="M77:M140" si="26">POWER($C$4,$D77/$B$4)</f>
        <v>0.82288491182931811</v>
      </c>
      <c r="N77" s="21">
        <f t="shared" ref="N77:N140" si="27">POWER($C$5,$B77/$B$5)</f>
        <v>0.98999880941042806</v>
      </c>
      <c r="O77" s="21">
        <f t="shared" ref="O77:O140" si="28">POWER($C$5,$C77/$B$5)</f>
        <v>0.94664930782047341</v>
      </c>
      <c r="P77" s="21">
        <f t="shared" ref="P77:P140" si="29">POWER($C$5,$D77/$B$5)</f>
        <v>0.86398126371643491</v>
      </c>
      <c r="Q77" s="21">
        <f t="shared" ref="Q77:Q140" si="30">POWER($C$6,$B77/$B$6)</f>
        <v>0.9919910134346358</v>
      </c>
      <c r="R77" s="21">
        <f t="shared" ref="R77:R140" si="31">POWER($C$6,$C77/$B$6)</f>
        <v>0.95708673564521296</v>
      </c>
      <c r="S77" s="21">
        <f t="shared" ref="S77:S140" si="32">POWER($C$6,$D77/$B$6)</f>
        <v>0.88961779106104</v>
      </c>
      <c r="T77" s="21">
        <f t="shared" ref="T77:T140" si="33">POWER($C$7,$B77/$B$7)</f>
        <v>0.99332137615943372</v>
      </c>
      <c r="U77" s="21">
        <f t="shared" ref="U77:U140" si="34">POWER($C$7,$C77/$B$7)</f>
        <v>0.9641088758637566</v>
      </c>
      <c r="V77" s="21">
        <f t="shared" ref="V77:V140" si="35">POWER($C$7,$D77/$B$7)</f>
        <v>0.90713004130020858</v>
      </c>
    </row>
    <row r="78" spans="1:22" x14ac:dyDescent="0.25">
      <c r="A78" t="str">
        <f>Tabelle2!A94</f>
        <v xml:space="preserve"> Dinopithecus King </v>
      </c>
      <c r="B78">
        <f>Tabelle2!$N94+(B$11*Tabelle2!$O94)</f>
        <v>2500</v>
      </c>
      <c r="C78">
        <f>Tabelle2!$N94+(C$11*Tabelle2!$O94)</f>
        <v>2500</v>
      </c>
      <c r="D78">
        <f>Tabelle2!$N94+(D$11*Tabelle2!$O94)</f>
        <v>2500</v>
      </c>
      <c r="E78" s="21">
        <f t="shared" si="18"/>
        <v>0.92667903057099543</v>
      </c>
      <c r="F78" s="21">
        <f t="shared" si="19"/>
        <v>0.92667903057099543</v>
      </c>
      <c r="G78" s="21">
        <f t="shared" si="20"/>
        <v>0.92667903057099543</v>
      </c>
      <c r="H78" s="21">
        <f t="shared" si="21"/>
        <v>0.96264169376305087</v>
      </c>
      <c r="I78" s="21">
        <f t="shared" si="22"/>
        <v>0.96264169376305087</v>
      </c>
      <c r="J78" s="21">
        <f t="shared" si="23"/>
        <v>0.96264169376305087</v>
      </c>
      <c r="K78" s="21">
        <f t="shared" si="24"/>
        <v>0.97493675875444819</v>
      </c>
      <c r="L78" s="21">
        <f t="shared" si="25"/>
        <v>0.97493675875444819</v>
      </c>
      <c r="M78" s="21">
        <f t="shared" si="26"/>
        <v>0.97493675875444819</v>
      </c>
      <c r="N78" s="21">
        <f t="shared" si="27"/>
        <v>0.98114305468828089</v>
      </c>
      <c r="O78" s="21">
        <f t="shared" si="28"/>
        <v>0.98114305468828089</v>
      </c>
      <c r="P78" s="21">
        <f t="shared" si="29"/>
        <v>0.98114305468828089</v>
      </c>
      <c r="Q78" s="21">
        <f t="shared" si="30"/>
        <v>0.98488578017961048</v>
      </c>
      <c r="R78" s="21">
        <f t="shared" si="31"/>
        <v>0.98488578017961048</v>
      </c>
      <c r="S78" s="21">
        <f t="shared" si="32"/>
        <v>0.98488578017961048</v>
      </c>
      <c r="T78" s="21">
        <f t="shared" si="33"/>
        <v>0.9873888589377785</v>
      </c>
      <c r="U78" s="21">
        <f t="shared" si="34"/>
        <v>0.9873888589377785</v>
      </c>
      <c r="V78" s="21">
        <f t="shared" si="35"/>
        <v>0.9873888589377785</v>
      </c>
    </row>
    <row r="79" spans="1:22" x14ac:dyDescent="0.25">
      <c r="A79" t="str">
        <f>Tabelle2!A95</f>
        <v xml:space="preserve"> Dinopithecus King </v>
      </c>
      <c r="B79">
        <f>Tabelle2!$N95+(B$11*Tabelle2!$O95)</f>
        <v>2500</v>
      </c>
      <c r="C79">
        <f>Tabelle2!$N95+(C$11*Tabelle2!$O95)</f>
        <v>2500</v>
      </c>
      <c r="D79">
        <f>Tabelle2!$N95+(D$11*Tabelle2!$O95)</f>
        <v>2500</v>
      </c>
      <c r="E79" s="21">
        <f t="shared" si="18"/>
        <v>0.92667903057099543</v>
      </c>
      <c r="F79" s="21">
        <f t="shared" si="19"/>
        <v>0.92667903057099543</v>
      </c>
      <c r="G79" s="21">
        <f t="shared" si="20"/>
        <v>0.92667903057099543</v>
      </c>
      <c r="H79" s="21">
        <f t="shared" si="21"/>
        <v>0.96264169376305087</v>
      </c>
      <c r="I79" s="21">
        <f t="shared" si="22"/>
        <v>0.96264169376305087</v>
      </c>
      <c r="J79" s="21">
        <f t="shared" si="23"/>
        <v>0.96264169376305087</v>
      </c>
      <c r="K79" s="21">
        <f t="shared" si="24"/>
        <v>0.97493675875444819</v>
      </c>
      <c r="L79" s="21">
        <f t="shared" si="25"/>
        <v>0.97493675875444819</v>
      </c>
      <c r="M79" s="21">
        <f t="shared" si="26"/>
        <v>0.97493675875444819</v>
      </c>
      <c r="N79" s="21">
        <f t="shared" si="27"/>
        <v>0.98114305468828089</v>
      </c>
      <c r="O79" s="21">
        <f t="shared" si="28"/>
        <v>0.98114305468828089</v>
      </c>
      <c r="P79" s="21">
        <f t="shared" si="29"/>
        <v>0.98114305468828089</v>
      </c>
      <c r="Q79" s="21">
        <f t="shared" si="30"/>
        <v>0.98488578017961048</v>
      </c>
      <c r="R79" s="21">
        <f t="shared" si="31"/>
        <v>0.98488578017961048</v>
      </c>
      <c r="S79" s="21">
        <f t="shared" si="32"/>
        <v>0.98488578017961048</v>
      </c>
      <c r="T79" s="21">
        <f t="shared" si="33"/>
        <v>0.9873888589377785</v>
      </c>
      <c r="U79" s="21">
        <f t="shared" si="34"/>
        <v>0.9873888589377785</v>
      </c>
      <c r="V79" s="21">
        <f t="shared" si="35"/>
        <v>0.9873888589377785</v>
      </c>
    </row>
    <row r="80" spans="1:22" x14ac:dyDescent="0.25">
      <c r="A80" t="str">
        <f>Tabelle2!A96</f>
        <v xml:space="preserve"> Dinopithecus King </v>
      </c>
      <c r="B80">
        <f>Tabelle2!$N96+(B$11*Tabelle2!$O96)</f>
        <v>2500</v>
      </c>
      <c r="C80">
        <f>Tabelle2!$N96+(C$11*Tabelle2!$O96)</f>
        <v>2500</v>
      </c>
      <c r="D80">
        <f>Tabelle2!$N96+(D$11*Tabelle2!$O96)</f>
        <v>2500</v>
      </c>
      <c r="E80" s="21">
        <f t="shared" si="18"/>
        <v>0.92667903057099543</v>
      </c>
      <c r="F80" s="21">
        <f t="shared" si="19"/>
        <v>0.92667903057099543</v>
      </c>
      <c r="G80" s="21">
        <f t="shared" si="20"/>
        <v>0.92667903057099543</v>
      </c>
      <c r="H80" s="21">
        <f t="shared" si="21"/>
        <v>0.96264169376305087</v>
      </c>
      <c r="I80" s="21">
        <f t="shared" si="22"/>
        <v>0.96264169376305087</v>
      </c>
      <c r="J80" s="21">
        <f t="shared" si="23"/>
        <v>0.96264169376305087</v>
      </c>
      <c r="K80" s="21">
        <f t="shared" si="24"/>
        <v>0.97493675875444819</v>
      </c>
      <c r="L80" s="21">
        <f t="shared" si="25"/>
        <v>0.97493675875444819</v>
      </c>
      <c r="M80" s="21">
        <f t="shared" si="26"/>
        <v>0.97493675875444819</v>
      </c>
      <c r="N80" s="21">
        <f t="shared" si="27"/>
        <v>0.98114305468828089</v>
      </c>
      <c r="O80" s="21">
        <f t="shared" si="28"/>
        <v>0.98114305468828089</v>
      </c>
      <c r="P80" s="21">
        <f t="shared" si="29"/>
        <v>0.98114305468828089</v>
      </c>
      <c r="Q80" s="21">
        <f t="shared" si="30"/>
        <v>0.98488578017961048</v>
      </c>
      <c r="R80" s="21">
        <f t="shared" si="31"/>
        <v>0.98488578017961048</v>
      </c>
      <c r="S80" s="21">
        <f t="shared" si="32"/>
        <v>0.98488578017961048</v>
      </c>
      <c r="T80" s="21">
        <f t="shared" si="33"/>
        <v>0.9873888589377785</v>
      </c>
      <c r="U80" s="21">
        <f t="shared" si="34"/>
        <v>0.9873888589377785</v>
      </c>
      <c r="V80" s="21">
        <f t="shared" si="35"/>
        <v>0.9873888589377785</v>
      </c>
    </row>
    <row r="81" spans="1:22" x14ac:dyDescent="0.25">
      <c r="A81" t="str">
        <f>Tabelle2!A97</f>
        <v xml:space="preserve"> Diplocaulus</v>
      </c>
      <c r="B81">
        <f>Tabelle2!$N97+(B$11*Tabelle2!$O97)</f>
        <v>1650</v>
      </c>
      <c r="C81">
        <f>Tabelle2!$N97+(C$11*Tabelle2!$O97)</f>
        <v>9000</v>
      </c>
      <c r="D81">
        <f>Tabelle2!$N97+(D$11*Tabelle2!$O97)</f>
        <v>24000</v>
      </c>
      <c r="E81" s="21">
        <f t="shared" si="18"/>
        <v>0.9509843315357922</v>
      </c>
      <c r="F81" s="21">
        <f t="shared" si="19"/>
        <v>0.76023105865456508</v>
      </c>
      <c r="G81" s="21">
        <f t="shared" si="20"/>
        <v>0.48141722191172354</v>
      </c>
      <c r="H81" s="21">
        <f t="shared" si="21"/>
        <v>0.9751842551722173</v>
      </c>
      <c r="I81" s="21">
        <f t="shared" si="22"/>
        <v>0.87191229986424956</v>
      </c>
      <c r="J81" s="21">
        <f t="shared" si="23"/>
        <v>0.69384236099543783</v>
      </c>
      <c r="K81" s="21">
        <f t="shared" si="24"/>
        <v>0.9833869797597673</v>
      </c>
      <c r="L81" s="21">
        <f t="shared" si="25"/>
        <v>0.91267299999999996</v>
      </c>
      <c r="M81" s="21">
        <f t="shared" si="26"/>
        <v>0.78374335943769602</v>
      </c>
      <c r="N81" s="21">
        <f t="shared" si="27"/>
        <v>0.9875141797322291</v>
      </c>
      <c r="O81" s="21">
        <f t="shared" si="28"/>
        <v>0.93376244295015931</v>
      </c>
      <c r="P81" s="21">
        <f t="shared" si="29"/>
        <v>0.83297200492899992</v>
      </c>
      <c r="Q81" s="21">
        <f t="shared" si="30"/>
        <v>0.98999880941042806</v>
      </c>
      <c r="R81" s="21">
        <f t="shared" si="31"/>
        <v>0.94664930782047341</v>
      </c>
      <c r="S81" s="21">
        <f t="shared" si="32"/>
        <v>0.86398126371643491</v>
      </c>
      <c r="T81" s="21">
        <f t="shared" si="33"/>
        <v>0.99165870124744393</v>
      </c>
      <c r="U81" s="21">
        <f t="shared" si="34"/>
        <v>0.95533920677422213</v>
      </c>
      <c r="V81" s="21">
        <f t="shared" si="35"/>
        <v>0.88529280999999993</v>
      </c>
    </row>
    <row r="82" spans="1:22" x14ac:dyDescent="0.25">
      <c r="A82" t="str">
        <f>Tabelle2!A98</f>
        <v xml:space="preserve"> Diplodocus</v>
      </c>
      <c r="B82">
        <f>Tabelle2!$N98+(B$11*Tabelle2!$O98)</f>
        <v>11000</v>
      </c>
      <c r="C82">
        <f>Tabelle2!$N98+(C$11*Tabelle2!$O98)</f>
        <v>60000</v>
      </c>
      <c r="D82">
        <f>Tabelle2!$N98+(D$11*Tabelle2!$O98)</f>
        <v>160000</v>
      </c>
      <c r="E82" s="21">
        <f t="shared" si="18"/>
        <v>0.71530140308808032</v>
      </c>
      <c r="F82" s="21">
        <f t="shared" si="19"/>
        <v>0.16080666902157673</v>
      </c>
      <c r="G82" s="21">
        <f t="shared" si="20"/>
        <v>7.6467604031066217E-3</v>
      </c>
      <c r="H82" s="21">
        <f t="shared" si="21"/>
        <v>0.84575493086832199</v>
      </c>
      <c r="I82" s="21">
        <f t="shared" si="22"/>
        <v>0.4010070685431576</v>
      </c>
      <c r="J82" s="21">
        <f t="shared" si="23"/>
        <v>8.7445756918827236E-2</v>
      </c>
      <c r="K82" s="21">
        <f t="shared" si="24"/>
        <v>0.89432703407160496</v>
      </c>
      <c r="L82" s="21">
        <f t="shared" si="25"/>
        <v>0.54379434292674711</v>
      </c>
      <c r="M82" s="21">
        <f t="shared" si="26"/>
        <v>0.19701191578578173</v>
      </c>
      <c r="N82" s="21">
        <f t="shared" si="27"/>
        <v>0.91964935212738663</v>
      </c>
      <c r="O82" s="21">
        <f t="shared" si="28"/>
        <v>0.63325118913678924</v>
      </c>
      <c r="P82" s="21">
        <f t="shared" si="29"/>
        <v>0.29571228739913263</v>
      </c>
      <c r="Q82" s="21">
        <f t="shared" si="30"/>
        <v>0.93518560958784391</v>
      </c>
      <c r="R82" s="21">
        <f t="shared" si="31"/>
        <v>0.69384236099543783</v>
      </c>
      <c r="S82" s="21">
        <f t="shared" si="32"/>
        <v>0.37730755079225703</v>
      </c>
      <c r="T82" s="21">
        <f t="shared" si="33"/>
        <v>0.94568865599181473</v>
      </c>
      <c r="U82" s="21">
        <f t="shared" si="34"/>
        <v>0.7374241268949282</v>
      </c>
      <c r="V82" s="21">
        <f t="shared" si="35"/>
        <v>0.44386024352917858</v>
      </c>
    </row>
    <row r="83" spans="1:22" x14ac:dyDescent="0.25">
      <c r="A83" t="str">
        <f>Tabelle2!A99</f>
        <v xml:space="preserve"> Dire Bear</v>
      </c>
      <c r="B83">
        <f>Tabelle2!$N99+(B$11*Tabelle2!$O99)</f>
        <v>3300</v>
      </c>
      <c r="C83">
        <f>Tabelle2!$N99+(C$11*Tabelle2!$O99)</f>
        <v>18000</v>
      </c>
      <c r="D83">
        <f>Tabelle2!$N99+(D$11*Tabelle2!$O99)</f>
        <v>48000</v>
      </c>
      <c r="E83" s="21">
        <f t="shared" si="18"/>
        <v>0.90437119882657746</v>
      </c>
      <c r="F83" s="21">
        <f t="shared" si="19"/>
        <v>0.57795126254304086</v>
      </c>
      <c r="G83" s="21">
        <f t="shared" si="20"/>
        <v>0.2317625415532017</v>
      </c>
      <c r="H83" s="21">
        <f t="shared" si="21"/>
        <v>0.9509843315357922</v>
      </c>
      <c r="I83" s="21">
        <f t="shared" si="22"/>
        <v>0.76023105865456508</v>
      </c>
      <c r="J83" s="21">
        <f t="shared" si="23"/>
        <v>0.48141722191172354</v>
      </c>
      <c r="K83" s="21">
        <f t="shared" si="24"/>
        <v>0.96704995196103694</v>
      </c>
      <c r="L83" s="21">
        <f t="shared" si="25"/>
        <v>0.83297200492899992</v>
      </c>
      <c r="M83" s="21">
        <f t="shared" si="26"/>
        <v>0.61425365346268557</v>
      </c>
      <c r="N83" s="21">
        <f t="shared" si="27"/>
        <v>0.9751842551722173</v>
      </c>
      <c r="O83" s="21">
        <f t="shared" si="28"/>
        <v>0.87191229986424956</v>
      </c>
      <c r="P83" s="21">
        <f t="shared" si="29"/>
        <v>0.69384236099543783</v>
      </c>
      <c r="Q83" s="21">
        <f t="shared" si="30"/>
        <v>0.98009764263406507</v>
      </c>
      <c r="R83" s="21">
        <f t="shared" si="31"/>
        <v>0.89614491199698143</v>
      </c>
      <c r="S83" s="21">
        <f t="shared" si="32"/>
        <v>0.74646362405304778</v>
      </c>
      <c r="T83" s="21">
        <f t="shared" si="33"/>
        <v>0.9833869797597673</v>
      </c>
      <c r="U83" s="21">
        <f t="shared" si="34"/>
        <v>0.91267299999999996</v>
      </c>
      <c r="V83" s="21">
        <f t="shared" si="35"/>
        <v>0.78374335943769602</v>
      </c>
    </row>
    <row r="84" spans="1:22" x14ac:dyDescent="0.25">
      <c r="A84" t="str">
        <f>Tabelle2!A100</f>
        <v xml:space="preserve"> Direwolf</v>
      </c>
      <c r="B84">
        <f>Tabelle2!$N100+(B$11*Tabelle2!$O100)</f>
        <v>1320</v>
      </c>
      <c r="C84">
        <f>Tabelle2!$N100+(C$11*Tabelle2!$O100)</f>
        <v>7200</v>
      </c>
      <c r="D84">
        <f>Tabelle2!$N100+(D$11*Tabelle2!$O100)</f>
        <v>19200</v>
      </c>
      <c r="E84" s="21">
        <f t="shared" si="18"/>
        <v>0.96059138909685149</v>
      </c>
      <c r="F84" s="21">
        <f t="shared" si="19"/>
        <v>0.80307570329807754</v>
      </c>
      <c r="G84" s="21">
        <f t="shared" si="20"/>
        <v>0.55720794203440982</v>
      </c>
      <c r="H84" s="21">
        <f t="shared" si="21"/>
        <v>0.98009764263406507</v>
      </c>
      <c r="I84" s="21">
        <f t="shared" si="22"/>
        <v>0.89614491199698143</v>
      </c>
      <c r="J84" s="21">
        <f t="shared" si="23"/>
        <v>0.74646362405304778</v>
      </c>
      <c r="K84" s="21">
        <f t="shared" si="24"/>
        <v>0.98668735633527116</v>
      </c>
      <c r="L84" s="21">
        <f t="shared" si="25"/>
        <v>0.92950592451927649</v>
      </c>
      <c r="M84" s="21">
        <f t="shared" si="26"/>
        <v>0.82288491182931811</v>
      </c>
      <c r="N84" s="21">
        <f t="shared" si="27"/>
        <v>0.98999880941042806</v>
      </c>
      <c r="O84" s="21">
        <f t="shared" si="28"/>
        <v>0.94664930782047341</v>
      </c>
      <c r="P84" s="21">
        <f t="shared" si="29"/>
        <v>0.86398126371643491</v>
      </c>
      <c r="Q84" s="21">
        <f t="shared" si="30"/>
        <v>0.9919910134346358</v>
      </c>
      <c r="R84" s="21">
        <f t="shared" si="31"/>
        <v>0.95708673564521296</v>
      </c>
      <c r="S84" s="21">
        <f t="shared" si="32"/>
        <v>0.88961779106104</v>
      </c>
      <c r="T84" s="21">
        <f t="shared" si="33"/>
        <v>0.99332137615943372</v>
      </c>
      <c r="U84" s="21">
        <f t="shared" si="34"/>
        <v>0.9641088758637566</v>
      </c>
      <c r="V84" s="21">
        <f t="shared" si="35"/>
        <v>0.90713004130020858</v>
      </c>
    </row>
    <row r="85" spans="1:22" x14ac:dyDescent="0.25">
      <c r="A85" t="str">
        <f>Tabelle2!A101</f>
        <v xml:space="preserve"> Dodo</v>
      </c>
      <c r="B85">
        <f>Tabelle2!$N101+(B$11*Tabelle2!$O101)</f>
        <v>495</v>
      </c>
      <c r="C85">
        <f>Tabelle2!$N101+(C$11*Tabelle2!$O101)</f>
        <v>2700</v>
      </c>
      <c r="D85">
        <f>Tabelle2!$N101+(D$11*Tabelle2!$O101)</f>
        <v>7200</v>
      </c>
      <c r="E85" s="21">
        <f t="shared" si="18"/>
        <v>0.98503578580358775</v>
      </c>
      <c r="F85" s="21">
        <f t="shared" si="19"/>
        <v>0.92105100871166823</v>
      </c>
      <c r="G85" s="21">
        <f t="shared" si="20"/>
        <v>0.80307570329807754</v>
      </c>
      <c r="H85" s="21">
        <f t="shared" si="21"/>
        <v>0.99248969052760827</v>
      </c>
      <c r="I85" s="21">
        <f t="shared" si="22"/>
        <v>0.9597140244425254</v>
      </c>
      <c r="J85" s="21">
        <f t="shared" si="23"/>
        <v>0.89614491199698143</v>
      </c>
      <c r="K85" s="21">
        <f t="shared" si="24"/>
        <v>0.99498683881266892</v>
      </c>
      <c r="L85" s="21">
        <f t="shared" si="25"/>
        <v>0.9729590473501305</v>
      </c>
      <c r="M85" s="21">
        <f t="shared" si="26"/>
        <v>0.92950592451927649</v>
      </c>
      <c r="N85" s="21">
        <f t="shared" si="27"/>
        <v>0.99623776806925379</v>
      </c>
      <c r="O85" s="21">
        <f t="shared" si="28"/>
        <v>0.97964994995280097</v>
      </c>
      <c r="P85" s="21">
        <f t="shared" si="29"/>
        <v>0.94664930782047341</v>
      </c>
      <c r="Q85" s="21">
        <f t="shared" si="30"/>
        <v>0.99698908039667333</v>
      </c>
      <c r="R85" s="21">
        <f t="shared" si="31"/>
        <v>0.98368655726246035</v>
      </c>
      <c r="S85" s="21">
        <f t="shared" si="32"/>
        <v>0.95708673564521296</v>
      </c>
      <c r="T85" s="21">
        <f t="shared" si="33"/>
        <v>0.99749027003408353</v>
      </c>
      <c r="U85" s="21">
        <f t="shared" si="34"/>
        <v>0.98638686495214978</v>
      </c>
      <c r="V85" s="21">
        <f t="shared" si="35"/>
        <v>0.9641088758637566</v>
      </c>
    </row>
    <row r="86" spans="1:22" x14ac:dyDescent="0.25">
      <c r="A86" t="str">
        <f>Tabelle2!A102</f>
        <v xml:space="preserve"> Doedicurus</v>
      </c>
      <c r="B86">
        <f>Tabelle2!$N102+(B$11*Tabelle2!$O102)</f>
        <v>3300</v>
      </c>
      <c r="C86">
        <f>Tabelle2!$N102+(C$11*Tabelle2!$O102)</f>
        <v>18000</v>
      </c>
      <c r="D86">
        <f>Tabelle2!$N102+(D$11*Tabelle2!$O102)</f>
        <v>48000</v>
      </c>
      <c r="E86" s="21">
        <f t="shared" si="18"/>
        <v>0.90437119882657746</v>
      </c>
      <c r="F86" s="21">
        <f t="shared" si="19"/>
        <v>0.57795126254304086</v>
      </c>
      <c r="G86" s="21">
        <f t="shared" si="20"/>
        <v>0.2317625415532017</v>
      </c>
      <c r="H86" s="21">
        <f t="shared" si="21"/>
        <v>0.9509843315357922</v>
      </c>
      <c r="I86" s="21">
        <f t="shared" si="22"/>
        <v>0.76023105865456508</v>
      </c>
      <c r="J86" s="21">
        <f t="shared" si="23"/>
        <v>0.48141722191172354</v>
      </c>
      <c r="K86" s="21">
        <f t="shared" si="24"/>
        <v>0.96704995196103694</v>
      </c>
      <c r="L86" s="21">
        <f t="shared" si="25"/>
        <v>0.83297200492899992</v>
      </c>
      <c r="M86" s="21">
        <f t="shared" si="26"/>
        <v>0.61425365346268557</v>
      </c>
      <c r="N86" s="21">
        <f t="shared" si="27"/>
        <v>0.9751842551722173</v>
      </c>
      <c r="O86" s="21">
        <f t="shared" si="28"/>
        <v>0.87191229986424956</v>
      </c>
      <c r="P86" s="21">
        <f t="shared" si="29"/>
        <v>0.69384236099543783</v>
      </c>
      <c r="Q86" s="21">
        <f t="shared" si="30"/>
        <v>0.98009764263406507</v>
      </c>
      <c r="R86" s="21">
        <f t="shared" si="31"/>
        <v>0.89614491199698143</v>
      </c>
      <c r="S86" s="21">
        <f t="shared" si="32"/>
        <v>0.74646362405304778</v>
      </c>
      <c r="T86" s="21">
        <f t="shared" si="33"/>
        <v>0.9833869797597673</v>
      </c>
      <c r="U86" s="21">
        <f t="shared" si="34"/>
        <v>0.91267299999999996</v>
      </c>
      <c r="V86" s="21">
        <f t="shared" si="35"/>
        <v>0.78374335943769602</v>
      </c>
    </row>
    <row r="87" spans="1:22" x14ac:dyDescent="0.25">
      <c r="A87" t="str">
        <f>Tabelle2!A103</f>
        <v xml:space="preserve"> Dragon </v>
      </c>
      <c r="B87">
        <f>Tabelle2!$N103+(B$11*Tabelle2!$O103)</f>
        <v>2600</v>
      </c>
      <c r="C87">
        <f>Tabelle2!$N103+(C$11*Tabelle2!$O103)</f>
        <v>2600</v>
      </c>
      <c r="D87">
        <f>Tabelle2!$N103+(D$11*Tabelle2!$O103)</f>
        <v>2600</v>
      </c>
      <c r="E87" s="21">
        <f t="shared" si="18"/>
        <v>0.92386073401750668</v>
      </c>
      <c r="F87" s="21">
        <f t="shared" si="19"/>
        <v>0.92386073401750668</v>
      </c>
      <c r="G87" s="21">
        <f t="shared" si="20"/>
        <v>0.92386073401750668</v>
      </c>
      <c r="H87" s="21">
        <f t="shared" si="21"/>
        <v>0.96117674442191259</v>
      </c>
      <c r="I87" s="21">
        <f t="shared" si="22"/>
        <v>0.96117674442191259</v>
      </c>
      <c r="J87" s="21">
        <f t="shared" si="23"/>
        <v>0.96117674442191259</v>
      </c>
      <c r="K87" s="21">
        <f t="shared" si="24"/>
        <v>0.97394740105631572</v>
      </c>
      <c r="L87" s="21">
        <f t="shared" si="25"/>
        <v>0.97394740105631572</v>
      </c>
      <c r="M87" s="21">
        <f t="shared" si="26"/>
        <v>0.97394740105631572</v>
      </c>
      <c r="N87" s="21">
        <f t="shared" si="27"/>
        <v>0.98039621807813626</v>
      </c>
      <c r="O87" s="21">
        <f t="shared" si="28"/>
        <v>0.98039621807813626</v>
      </c>
      <c r="P87" s="21">
        <f t="shared" si="29"/>
        <v>0.98039621807813626</v>
      </c>
      <c r="Q87" s="21">
        <f t="shared" si="30"/>
        <v>0.98428598608414275</v>
      </c>
      <c r="R87" s="21">
        <f t="shared" si="31"/>
        <v>0.98428598608414275</v>
      </c>
      <c r="S87" s="21">
        <f t="shared" si="32"/>
        <v>0.98428598608414275</v>
      </c>
      <c r="T87" s="21">
        <f t="shared" si="33"/>
        <v>0.98688773477853886</v>
      </c>
      <c r="U87" s="21">
        <f t="shared" si="34"/>
        <v>0.98688773477853886</v>
      </c>
      <c r="V87" s="21">
        <f t="shared" si="35"/>
        <v>0.98688773477853886</v>
      </c>
    </row>
    <row r="88" spans="1:22" x14ac:dyDescent="0.25">
      <c r="A88" t="str">
        <f>Tabelle2!A104</f>
        <v xml:space="preserve"> Dragon </v>
      </c>
      <c r="B88">
        <f>Tabelle2!$N104+(B$11*Tabelle2!$O104)</f>
        <v>2600</v>
      </c>
      <c r="C88">
        <f>Tabelle2!$N104+(C$11*Tabelle2!$O104)</f>
        <v>2600</v>
      </c>
      <c r="D88">
        <f>Tabelle2!$N104+(D$11*Tabelle2!$O104)</f>
        <v>2600</v>
      </c>
      <c r="E88" s="21">
        <f t="shared" si="18"/>
        <v>0.92386073401750668</v>
      </c>
      <c r="F88" s="21">
        <f t="shared" si="19"/>
        <v>0.92386073401750668</v>
      </c>
      <c r="G88" s="21">
        <f t="shared" si="20"/>
        <v>0.92386073401750668</v>
      </c>
      <c r="H88" s="21">
        <f t="shared" si="21"/>
        <v>0.96117674442191259</v>
      </c>
      <c r="I88" s="21">
        <f t="shared" si="22"/>
        <v>0.96117674442191259</v>
      </c>
      <c r="J88" s="21">
        <f t="shared" si="23"/>
        <v>0.96117674442191259</v>
      </c>
      <c r="K88" s="21">
        <f t="shared" si="24"/>
        <v>0.97394740105631572</v>
      </c>
      <c r="L88" s="21">
        <f t="shared" si="25"/>
        <v>0.97394740105631572</v>
      </c>
      <c r="M88" s="21">
        <f t="shared" si="26"/>
        <v>0.97394740105631572</v>
      </c>
      <c r="N88" s="21">
        <f t="shared" si="27"/>
        <v>0.98039621807813626</v>
      </c>
      <c r="O88" s="21">
        <f t="shared" si="28"/>
        <v>0.98039621807813626</v>
      </c>
      <c r="P88" s="21">
        <f t="shared" si="29"/>
        <v>0.98039621807813626</v>
      </c>
      <c r="Q88" s="21">
        <f t="shared" si="30"/>
        <v>0.98428598608414275</v>
      </c>
      <c r="R88" s="21">
        <f t="shared" si="31"/>
        <v>0.98428598608414275</v>
      </c>
      <c r="S88" s="21">
        <f t="shared" si="32"/>
        <v>0.98428598608414275</v>
      </c>
      <c r="T88" s="21">
        <f t="shared" si="33"/>
        <v>0.98688773477853886</v>
      </c>
      <c r="U88" s="21">
        <f t="shared" si="34"/>
        <v>0.98688773477853886</v>
      </c>
      <c r="V88" s="21">
        <f t="shared" si="35"/>
        <v>0.98688773477853886</v>
      </c>
    </row>
    <row r="89" spans="1:22" x14ac:dyDescent="0.25">
      <c r="A89" t="str">
        <f>Tabelle2!A105</f>
        <v xml:space="preserve"> Dragon </v>
      </c>
      <c r="B89">
        <f>Tabelle2!$N105+(B$11*Tabelle2!$O105)</f>
        <v>2600</v>
      </c>
      <c r="C89">
        <f>Tabelle2!$N105+(C$11*Tabelle2!$O105)</f>
        <v>2600</v>
      </c>
      <c r="D89">
        <f>Tabelle2!$N105+(D$11*Tabelle2!$O105)</f>
        <v>2600</v>
      </c>
      <c r="E89" s="21">
        <f t="shared" si="18"/>
        <v>0.92386073401750668</v>
      </c>
      <c r="F89" s="21">
        <f t="shared" si="19"/>
        <v>0.92386073401750668</v>
      </c>
      <c r="G89" s="21">
        <f t="shared" si="20"/>
        <v>0.92386073401750668</v>
      </c>
      <c r="H89" s="21">
        <f t="shared" si="21"/>
        <v>0.96117674442191259</v>
      </c>
      <c r="I89" s="21">
        <f t="shared" si="22"/>
        <v>0.96117674442191259</v>
      </c>
      <c r="J89" s="21">
        <f t="shared" si="23"/>
        <v>0.96117674442191259</v>
      </c>
      <c r="K89" s="21">
        <f t="shared" si="24"/>
        <v>0.97394740105631572</v>
      </c>
      <c r="L89" s="21">
        <f t="shared" si="25"/>
        <v>0.97394740105631572</v>
      </c>
      <c r="M89" s="21">
        <f t="shared" si="26"/>
        <v>0.97394740105631572</v>
      </c>
      <c r="N89" s="21">
        <f t="shared" si="27"/>
        <v>0.98039621807813626</v>
      </c>
      <c r="O89" s="21">
        <f t="shared" si="28"/>
        <v>0.98039621807813626</v>
      </c>
      <c r="P89" s="21">
        <f t="shared" si="29"/>
        <v>0.98039621807813626</v>
      </c>
      <c r="Q89" s="21">
        <f t="shared" si="30"/>
        <v>0.98428598608414275</v>
      </c>
      <c r="R89" s="21">
        <f t="shared" si="31"/>
        <v>0.98428598608414275</v>
      </c>
      <c r="S89" s="21">
        <f t="shared" si="32"/>
        <v>0.98428598608414275</v>
      </c>
      <c r="T89" s="21">
        <f t="shared" si="33"/>
        <v>0.98688773477853886</v>
      </c>
      <c r="U89" s="21">
        <f t="shared" si="34"/>
        <v>0.98688773477853886</v>
      </c>
      <c r="V89" s="21">
        <f t="shared" si="35"/>
        <v>0.98688773477853886</v>
      </c>
    </row>
    <row r="90" spans="1:22" x14ac:dyDescent="0.25">
      <c r="A90" t="str">
        <f>Tabelle2!A106</f>
        <v xml:space="preserve"> Drakeling</v>
      </c>
      <c r="B90">
        <f>Tabelle2!$N106+(B$11*Tabelle2!$O106)</f>
        <v>1100</v>
      </c>
      <c r="C90">
        <f>Tabelle2!$N106+(C$11*Tabelle2!$O106)</f>
        <v>6000</v>
      </c>
      <c r="D90">
        <f>Tabelle2!$N106+(D$11*Tabelle2!$O106)</f>
        <v>16000</v>
      </c>
      <c r="E90" s="21">
        <f t="shared" si="18"/>
        <v>0.96704995196103694</v>
      </c>
      <c r="F90" s="21">
        <f t="shared" si="19"/>
        <v>0.83297200492899992</v>
      </c>
      <c r="G90" s="21">
        <f t="shared" si="20"/>
        <v>0.61425365346268557</v>
      </c>
      <c r="H90" s="21">
        <f t="shared" si="21"/>
        <v>0.9833869797597673</v>
      </c>
      <c r="I90" s="21">
        <f t="shared" si="22"/>
        <v>0.91267299999999996</v>
      </c>
      <c r="J90" s="21">
        <f t="shared" si="23"/>
        <v>0.78374335943769602</v>
      </c>
      <c r="K90" s="21">
        <f t="shared" si="24"/>
        <v>0.98889375870438512</v>
      </c>
      <c r="L90" s="21">
        <f t="shared" si="25"/>
        <v>0.94089999999999996</v>
      </c>
      <c r="M90" s="21">
        <f t="shared" si="26"/>
        <v>0.850059351547788</v>
      </c>
      <c r="N90" s="21">
        <f t="shared" si="27"/>
        <v>0.99165870124744393</v>
      </c>
      <c r="O90" s="21">
        <f t="shared" si="28"/>
        <v>0.95533920677422213</v>
      </c>
      <c r="P90" s="21">
        <f t="shared" si="29"/>
        <v>0.88529280999999993</v>
      </c>
      <c r="Q90" s="21">
        <f t="shared" si="30"/>
        <v>0.99332137615943372</v>
      </c>
      <c r="R90" s="21">
        <f t="shared" si="31"/>
        <v>0.9641088758637566</v>
      </c>
      <c r="S90" s="21">
        <f t="shared" si="32"/>
        <v>0.90713004130020858</v>
      </c>
      <c r="T90" s="21">
        <f t="shared" si="33"/>
        <v>0.99443137455753328</v>
      </c>
      <c r="U90" s="21">
        <f t="shared" si="34"/>
        <v>0.97</v>
      </c>
      <c r="V90" s="21">
        <f t="shared" si="35"/>
        <v>0.92198663306351036</v>
      </c>
    </row>
    <row r="91" spans="1:22" x14ac:dyDescent="0.25">
      <c r="A91" t="str">
        <f>Tabelle2!A107</f>
        <v xml:space="preserve"> Drakeling</v>
      </c>
      <c r="B91">
        <f>Tabelle2!$N107+(B$11*Tabelle2!$O107)</f>
        <v>1100</v>
      </c>
      <c r="C91">
        <f>Tabelle2!$N107+(C$11*Tabelle2!$O107)</f>
        <v>6000</v>
      </c>
      <c r="D91">
        <f>Tabelle2!$N107+(D$11*Tabelle2!$O107)</f>
        <v>16000</v>
      </c>
      <c r="E91" s="21">
        <f t="shared" si="18"/>
        <v>0.96704995196103694</v>
      </c>
      <c r="F91" s="21">
        <f t="shared" si="19"/>
        <v>0.83297200492899992</v>
      </c>
      <c r="G91" s="21">
        <f t="shared" si="20"/>
        <v>0.61425365346268557</v>
      </c>
      <c r="H91" s="21">
        <f t="shared" si="21"/>
        <v>0.9833869797597673</v>
      </c>
      <c r="I91" s="21">
        <f t="shared" si="22"/>
        <v>0.91267299999999996</v>
      </c>
      <c r="J91" s="21">
        <f t="shared" si="23"/>
        <v>0.78374335943769602</v>
      </c>
      <c r="K91" s="21">
        <f t="shared" si="24"/>
        <v>0.98889375870438512</v>
      </c>
      <c r="L91" s="21">
        <f t="shared" si="25"/>
        <v>0.94089999999999996</v>
      </c>
      <c r="M91" s="21">
        <f t="shared" si="26"/>
        <v>0.850059351547788</v>
      </c>
      <c r="N91" s="21">
        <f t="shared" si="27"/>
        <v>0.99165870124744393</v>
      </c>
      <c r="O91" s="21">
        <f t="shared" si="28"/>
        <v>0.95533920677422213</v>
      </c>
      <c r="P91" s="21">
        <f t="shared" si="29"/>
        <v>0.88529280999999993</v>
      </c>
      <c r="Q91" s="21">
        <f t="shared" si="30"/>
        <v>0.99332137615943372</v>
      </c>
      <c r="R91" s="21">
        <f t="shared" si="31"/>
        <v>0.9641088758637566</v>
      </c>
      <c r="S91" s="21">
        <f t="shared" si="32"/>
        <v>0.90713004130020858</v>
      </c>
      <c r="T91" s="21">
        <f t="shared" si="33"/>
        <v>0.99443137455753328</v>
      </c>
      <c r="U91" s="21">
        <f t="shared" si="34"/>
        <v>0.97</v>
      </c>
      <c r="V91" s="21">
        <f t="shared" si="35"/>
        <v>0.92198663306351036</v>
      </c>
    </row>
    <row r="92" spans="1:22" x14ac:dyDescent="0.25">
      <c r="A92" t="str">
        <f>Tabelle2!A108</f>
        <v xml:space="preserve"> Drakeling</v>
      </c>
      <c r="B92">
        <f>Tabelle2!$N108+(B$11*Tabelle2!$O108)</f>
        <v>1100</v>
      </c>
      <c r="C92">
        <f>Tabelle2!$N108+(C$11*Tabelle2!$O108)</f>
        <v>6000</v>
      </c>
      <c r="D92">
        <f>Tabelle2!$N108+(D$11*Tabelle2!$O108)</f>
        <v>16000</v>
      </c>
      <c r="E92" s="21">
        <f t="shared" si="18"/>
        <v>0.96704995196103694</v>
      </c>
      <c r="F92" s="21">
        <f t="shared" si="19"/>
        <v>0.83297200492899992</v>
      </c>
      <c r="G92" s="21">
        <f t="shared" si="20"/>
        <v>0.61425365346268557</v>
      </c>
      <c r="H92" s="21">
        <f t="shared" si="21"/>
        <v>0.9833869797597673</v>
      </c>
      <c r="I92" s="21">
        <f t="shared" si="22"/>
        <v>0.91267299999999996</v>
      </c>
      <c r="J92" s="21">
        <f t="shared" si="23"/>
        <v>0.78374335943769602</v>
      </c>
      <c r="K92" s="21">
        <f t="shared" si="24"/>
        <v>0.98889375870438512</v>
      </c>
      <c r="L92" s="21">
        <f t="shared" si="25"/>
        <v>0.94089999999999996</v>
      </c>
      <c r="M92" s="21">
        <f t="shared" si="26"/>
        <v>0.850059351547788</v>
      </c>
      <c r="N92" s="21">
        <f t="shared" si="27"/>
        <v>0.99165870124744393</v>
      </c>
      <c r="O92" s="21">
        <f t="shared" si="28"/>
        <v>0.95533920677422213</v>
      </c>
      <c r="P92" s="21">
        <f t="shared" si="29"/>
        <v>0.88529280999999993</v>
      </c>
      <c r="Q92" s="21">
        <f t="shared" si="30"/>
        <v>0.99332137615943372</v>
      </c>
      <c r="R92" s="21">
        <f t="shared" si="31"/>
        <v>0.9641088758637566</v>
      </c>
      <c r="S92" s="21">
        <f t="shared" si="32"/>
        <v>0.90713004130020858</v>
      </c>
      <c r="T92" s="21">
        <f t="shared" si="33"/>
        <v>0.99443137455753328</v>
      </c>
      <c r="U92" s="21">
        <f t="shared" si="34"/>
        <v>0.97</v>
      </c>
      <c r="V92" s="21">
        <f t="shared" si="35"/>
        <v>0.92198663306351036</v>
      </c>
    </row>
    <row r="93" spans="1:22" x14ac:dyDescent="0.25">
      <c r="A93" t="str">
        <f>Tabelle2!A109</f>
        <v xml:space="preserve"> Drakeling</v>
      </c>
      <c r="B93">
        <f>Tabelle2!$N109+(B$11*Tabelle2!$O109)</f>
        <v>1100</v>
      </c>
      <c r="C93">
        <f>Tabelle2!$N109+(C$11*Tabelle2!$O109)</f>
        <v>6000</v>
      </c>
      <c r="D93">
        <f>Tabelle2!$N109+(D$11*Tabelle2!$O109)</f>
        <v>16000</v>
      </c>
      <c r="E93" s="21">
        <f t="shared" si="18"/>
        <v>0.96704995196103694</v>
      </c>
      <c r="F93" s="21">
        <f t="shared" si="19"/>
        <v>0.83297200492899992</v>
      </c>
      <c r="G93" s="21">
        <f t="shared" si="20"/>
        <v>0.61425365346268557</v>
      </c>
      <c r="H93" s="21">
        <f t="shared" si="21"/>
        <v>0.9833869797597673</v>
      </c>
      <c r="I93" s="21">
        <f t="shared" si="22"/>
        <v>0.91267299999999996</v>
      </c>
      <c r="J93" s="21">
        <f t="shared" si="23"/>
        <v>0.78374335943769602</v>
      </c>
      <c r="K93" s="21">
        <f t="shared" si="24"/>
        <v>0.98889375870438512</v>
      </c>
      <c r="L93" s="21">
        <f t="shared" si="25"/>
        <v>0.94089999999999996</v>
      </c>
      <c r="M93" s="21">
        <f t="shared" si="26"/>
        <v>0.850059351547788</v>
      </c>
      <c r="N93" s="21">
        <f t="shared" si="27"/>
        <v>0.99165870124744393</v>
      </c>
      <c r="O93" s="21">
        <f t="shared" si="28"/>
        <v>0.95533920677422213</v>
      </c>
      <c r="P93" s="21">
        <f t="shared" si="29"/>
        <v>0.88529280999999993</v>
      </c>
      <c r="Q93" s="21">
        <f t="shared" si="30"/>
        <v>0.99332137615943372</v>
      </c>
      <c r="R93" s="21">
        <f t="shared" si="31"/>
        <v>0.9641088758637566</v>
      </c>
      <c r="S93" s="21">
        <f t="shared" si="32"/>
        <v>0.90713004130020858</v>
      </c>
      <c r="T93" s="21">
        <f t="shared" si="33"/>
        <v>0.99443137455753328</v>
      </c>
      <c r="U93" s="21">
        <f t="shared" si="34"/>
        <v>0.97</v>
      </c>
      <c r="V93" s="21">
        <f t="shared" si="35"/>
        <v>0.92198663306351036</v>
      </c>
    </row>
    <row r="94" spans="1:22" x14ac:dyDescent="0.25">
      <c r="A94" t="str">
        <f>Tabelle2!A110</f>
        <v xml:space="preserve"> Dreadmare</v>
      </c>
      <c r="B94">
        <f>Tabelle2!$N110+(B$11*Tabelle2!$O110)</f>
        <v>1925</v>
      </c>
      <c r="C94">
        <f>Tabelle2!$N110+(C$11*Tabelle2!$O110)</f>
        <v>10500</v>
      </c>
      <c r="D94">
        <f>Tabelle2!$N110+(D$11*Tabelle2!$O110)</f>
        <v>28000</v>
      </c>
      <c r="E94" s="21">
        <f t="shared" si="18"/>
        <v>0.94305188711745236</v>
      </c>
      <c r="F94" s="21">
        <f t="shared" si="19"/>
        <v>0.72627853654017926</v>
      </c>
      <c r="G94" s="21">
        <f t="shared" si="20"/>
        <v>0.42619520516862325</v>
      </c>
      <c r="H94" s="21">
        <f t="shared" si="21"/>
        <v>0.97110858667682076</v>
      </c>
      <c r="I94" s="21">
        <f t="shared" si="22"/>
        <v>0.85221977009465066</v>
      </c>
      <c r="J94" s="21">
        <f t="shared" si="23"/>
        <v>0.65283627746060746</v>
      </c>
      <c r="K94" s="21">
        <f t="shared" si="24"/>
        <v>0.98064510042849373</v>
      </c>
      <c r="L94" s="21">
        <f t="shared" si="25"/>
        <v>0.89887865965386549</v>
      </c>
      <c r="M94" s="21">
        <f t="shared" si="26"/>
        <v>0.75255143199851904</v>
      </c>
      <c r="N94" s="21">
        <f t="shared" si="27"/>
        <v>0.98544841908484526</v>
      </c>
      <c r="O94" s="21">
        <f t="shared" si="28"/>
        <v>0.92315750015620335</v>
      </c>
      <c r="P94" s="21">
        <f t="shared" si="29"/>
        <v>0.80798284478112992</v>
      </c>
      <c r="Q94" s="21">
        <f t="shared" si="30"/>
        <v>0.98834169598992494</v>
      </c>
      <c r="R94" s="21">
        <f t="shared" si="31"/>
        <v>0.93803845340220582</v>
      </c>
      <c r="S94" s="21">
        <f t="shared" si="32"/>
        <v>0.84318274769795976</v>
      </c>
      <c r="T94" s="21">
        <f t="shared" si="33"/>
        <v>0.99027526497862894</v>
      </c>
      <c r="U94" s="21">
        <f t="shared" si="34"/>
        <v>0.94809211559524398</v>
      </c>
      <c r="V94" s="21">
        <f t="shared" si="35"/>
        <v>0.86749722304945676</v>
      </c>
    </row>
    <row r="95" spans="1:22" x14ac:dyDescent="0.25">
      <c r="A95" t="str">
        <f>Tabelle2!A111</f>
        <v xml:space="preserve"> Dreadnoughtus</v>
      </c>
      <c r="B95">
        <f>Tabelle2!$N111+(B$11*Tabelle2!$O111)</f>
        <v>14850</v>
      </c>
      <c r="C95">
        <f>Tabelle2!$N111+(C$11*Tabelle2!$O111)</f>
        <v>81000</v>
      </c>
      <c r="D95">
        <f>Tabelle2!$N111+(D$11*Tabelle2!$O111)</f>
        <v>216000</v>
      </c>
      <c r="E95" s="21">
        <f t="shared" si="18"/>
        <v>0.63615105807450811</v>
      </c>
      <c r="F95" s="21">
        <f t="shared" si="19"/>
        <v>8.4822384211262411E-2</v>
      </c>
      <c r="G95" s="21">
        <f t="shared" si="20"/>
        <v>1.3889755517495566E-3</v>
      </c>
      <c r="H95" s="21">
        <f t="shared" si="21"/>
        <v>0.7975907835942615</v>
      </c>
      <c r="I95" s="21">
        <f t="shared" si="22"/>
        <v>0.29124282688379177</v>
      </c>
      <c r="J95" s="21">
        <f t="shared" si="23"/>
        <v>3.7268962311145133E-2</v>
      </c>
      <c r="K95" s="21">
        <f t="shared" si="24"/>
        <v>0.86004283997631581</v>
      </c>
      <c r="L95" s="21">
        <f t="shared" si="25"/>
        <v>0.43937650017383845</v>
      </c>
      <c r="M95" s="21">
        <f t="shared" si="26"/>
        <v>0.11157447889774276</v>
      </c>
      <c r="N95" s="21">
        <f t="shared" si="27"/>
        <v>0.89307938258268038</v>
      </c>
      <c r="O95" s="21">
        <f t="shared" si="28"/>
        <v>0.53966918281831866</v>
      </c>
      <c r="P95" s="21">
        <f t="shared" si="29"/>
        <v>0.19305170890501105</v>
      </c>
      <c r="Q95" s="21">
        <f t="shared" si="30"/>
        <v>0.91350736003930733</v>
      </c>
      <c r="R95" s="21">
        <f t="shared" si="31"/>
        <v>0.61052309209805689</v>
      </c>
      <c r="S95" s="21">
        <f t="shared" si="32"/>
        <v>0.26824949948135413</v>
      </c>
      <c r="T95" s="21">
        <f t="shared" si="33"/>
        <v>0.9273849470291804</v>
      </c>
      <c r="U95" s="21">
        <f t="shared" si="34"/>
        <v>0.66285481077973496</v>
      </c>
      <c r="V95" s="21">
        <f t="shared" si="35"/>
        <v>0.33402766187509492</v>
      </c>
    </row>
    <row r="96" spans="1:22" x14ac:dyDescent="0.25">
      <c r="A96" t="str">
        <f>Tabelle2!A112</f>
        <v xml:space="preserve"> Dung Beetle</v>
      </c>
      <c r="B96">
        <f>Tabelle2!$N112+(B$11*Tabelle2!$O112)</f>
        <v>990</v>
      </c>
      <c r="C96">
        <f>Tabelle2!$N112+(C$11*Tabelle2!$O112)</f>
        <v>5400</v>
      </c>
      <c r="D96">
        <f>Tabelle2!$N112+(D$11*Tabelle2!$O112)</f>
        <v>14400</v>
      </c>
      <c r="E96" s="21">
        <f t="shared" si="18"/>
        <v>0.97029549931369152</v>
      </c>
      <c r="F96" s="21">
        <f t="shared" si="19"/>
        <v>0.84833496064878156</v>
      </c>
      <c r="G96" s="21">
        <f t="shared" si="20"/>
        <v>0.64493058522770197</v>
      </c>
      <c r="H96" s="21">
        <f t="shared" si="21"/>
        <v>0.98503578580358775</v>
      </c>
      <c r="I96" s="21">
        <f t="shared" si="22"/>
        <v>0.92105100871166823</v>
      </c>
      <c r="J96" s="21">
        <f t="shared" si="23"/>
        <v>0.80307570329807754</v>
      </c>
      <c r="K96" s="21">
        <f t="shared" si="24"/>
        <v>0.98999880941042806</v>
      </c>
      <c r="L96" s="21">
        <f t="shared" si="25"/>
        <v>0.94664930782047341</v>
      </c>
      <c r="M96" s="21">
        <f t="shared" si="26"/>
        <v>0.86398126371643491</v>
      </c>
      <c r="N96" s="21">
        <f t="shared" si="27"/>
        <v>0.99248969052760827</v>
      </c>
      <c r="O96" s="21">
        <f t="shared" si="28"/>
        <v>0.9597140244425254</v>
      </c>
      <c r="P96" s="21">
        <f t="shared" si="29"/>
        <v>0.89614491199698143</v>
      </c>
      <c r="Q96" s="21">
        <f t="shared" si="30"/>
        <v>0.99398722643020432</v>
      </c>
      <c r="R96" s="21">
        <f t="shared" si="31"/>
        <v>0.96763924293887171</v>
      </c>
      <c r="S96" s="21">
        <f t="shared" si="32"/>
        <v>0.91601501954800979</v>
      </c>
      <c r="T96" s="21">
        <f t="shared" si="33"/>
        <v>0.99498683881266892</v>
      </c>
      <c r="U96" s="21">
        <f t="shared" si="34"/>
        <v>0.9729590473501305</v>
      </c>
      <c r="V96" s="21">
        <f t="shared" si="35"/>
        <v>0.92950592451927649</v>
      </c>
    </row>
    <row r="97" spans="1:22" x14ac:dyDescent="0.25">
      <c r="A97" t="str">
        <f>Tabelle2!A113</f>
        <v xml:space="preserve"> Dunkleosteus</v>
      </c>
      <c r="B97">
        <f>Tabelle2!$N113+(B$11*Tabelle2!$O113)</f>
        <v>2200</v>
      </c>
      <c r="C97">
        <f>Tabelle2!$N113+(C$11*Tabelle2!$O113)</f>
        <v>12000</v>
      </c>
      <c r="D97">
        <f>Tabelle2!$N113+(D$11*Tabelle2!$O113)</f>
        <v>32000</v>
      </c>
      <c r="E97" s="21">
        <f t="shared" si="18"/>
        <v>0.93518560958784391</v>
      </c>
      <c r="F97" s="21">
        <f t="shared" si="19"/>
        <v>0.69384236099543783</v>
      </c>
      <c r="G97" s="21">
        <f t="shared" si="20"/>
        <v>0.37730755079225703</v>
      </c>
      <c r="H97" s="21">
        <f t="shared" si="21"/>
        <v>0.96704995196103694</v>
      </c>
      <c r="I97" s="21">
        <f t="shared" si="22"/>
        <v>0.83297200492899992</v>
      </c>
      <c r="J97" s="21">
        <f t="shared" si="23"/>
        <v>0.61425365346268557</v>
      </c>
      <c r="K97" s="21">
        <f t="shared" si="24"/>
        <v>0.97791086600448651</v>
      </c>
      <c r="L97" s="21">
        <f t="shared" si="25"/>
        <v>0.88529280999999993</v>
      </c>
      <c r="M97" s="21">
        <f t="shared" si="26"/>
        <v>0.72260090115384579</v>
      </c>
      <c r="N97" s="21">
        <f t="shared" si="27"/>
        <v>0.9833869797597673</v>
      </c>
      <c r="O97" s="21">
        <f t="shared" si="28"/>
        <v>0.91267299999999996</v>
      </c>
      <c r="P97" s="21">
        <f t="shared" si="29"/>
        <v>0.78374335943769602</v>
      </c>
      <c r="Q97" s="21">
        <f t="shared" si="30"/>
        <v>0.98668735633527116</v>
      </c>
      <c r="R97" s="21">
        <f t="shared" si="31"/>
        <v>0.92950592451927649</v>
      </c>
      <c r="S97" s="21">
        <f t="shared" si="32"/>
        <v>0.82288491182931811</v>
      </c>
      <c r="T97" s="21">
        <f t="shared" si="33"/>
        <v>0.98889375870438512</v>
      </c>
      <c r="U97" s="21">
        <f t="shared" si="34"/>
        <v>0.94089999999999996</v>
      </c>
      <c r="V97" s="21">
        <f t="shared" si="35"/>
        <v>0.850059351547788</v>
      </c>
    </row>
    <row r="98" spans="1:22" x14ac:dyDescent="0.25">
      <c r="A98" t="str">
        <f>Tabelle2!A114</f>
        <v xml:space="preserve"> Electrophorus</v>
      </c>
      <c r="B98">
        <f>Tabelle2!$N114+(B$11*Tabelle2!$O114)</f>
        <v>1650</v>
      </c>
      <c r="C98">
        <f>Tabelle2!$N114+(C$11*Tabelle2!$O114)</f>
        <v>9000</v>
      </c>
      <c r="D98">
        <f>Tabelle2!$N114+(D$11*Tabelle2!$O114)</f>
        <v>24000</v>
      </c>
      <c r="E98" s="21">
        <f t="shared" si="18"/>
        <v>0.9509843315357922</v>
      </c>
      <c r="F98" s="21">
        <f t="shared" si="19"/>
        <v>0.76023105865456508</v>
      </c>
      <c r="G98" s="21">
        <f t="shared" si="20"/>
        <v>0.48141722191172354</v>
      </c>
      <c r="H98" s="21">
        <f t="shared" si="21"/>
        <v>0.9751842551722173</v>
      </c>
      <c r="I98" s="21">
        <f t="shared" si="22"/>
        <v>0.87191229986424956</v>
      </c>
      <c r="J98" s="21">
        <f t="shared" si="23"/>
        <v>0.69384236099543783</v>
      </c>
      <c r="K98" s="21">
        <f t="shared" si="24"/>
        <v>0.9833869797597673</v>
      </c>
      <c r="L98" s="21">
        <f t="shared" si="25"/>
        <v>0.91267299999999996</v>
      </c>
      <c r="M98" s="21">
        <f t="shared" si="26"/>
        <v>0.78374335943769602</v>
      </c>
      <c r="N98" s="21">
        <f t="shared" si="27"/>
        <v>0.9875141797322291</v>
      </c>
      <c r="O98" s="21">
        <f t="shared" si="28"/>
        <v>0.93376244295015931</v>
      </c>
      <c r="P98" s="21">
        <f t="shared" si="29"/>
        <v>0.83297200492899992</v>
      </c>
      <c r="Q98" s="21">
        <f t="shared" si="30"/>
        <v>0.98999880941042806</v>
      </c>
      <c r="R98" s="21">
        <f t="shared" si="31"/>
        <v>0.94664930782047341</v>
      </c>
      <c r="S98" s="21">
        <f t="shared" si="32"/>
        <v>0.86398126371643491</v>
      </c>
      <c r="T98" s="21">
        <f t="shared" si="33"/>
        <v>0.99165870124744393</v>
      </c>
      <c r="U98" s="21">
        <f t="shared" si="34"/>
        <v>0.95533920677422213</v>
      </c>
      <c r="V98" s="21">
        <f t="shared" si="35"/>
        <v>0.88529280999999993</v>
      </c>
    </row>
    <row r="99" spans="1:22" x14ac:dyDescent="0.25">
      <c r="A99" t="str">
        <f>Tabelle2!A115</f>
        <v xml:space="preserve"> Equus</v>
      </c>
      <c r="B99">
        <f>Tabelle2!$N115+(B$11*Tabelle2!$O115)</f>
        <v>1650</v>
      </c>
      <c r="C99">
        <f>Tabelle2!$N115+(C$11*Tabelle2!$O115)</f>
        <v>9000</v>
      </c>
      <c r="D99">
        <f>Tabelle2!$N115+(D$11*Tabelle2!$O115)</f>
        <v>24000</v>
      </c>
      <c r="E99" s="21">
        <f t="shared" si="18"/>
        <v>0.9509843315357922</v>
      </c>
      <c r="F99" s="21">
        <f t="shared" si="19"/>
        <v>0.76023105865456508</v>
      </c>
      <c r="G99" s="21">
        <f t="shared" si="20"/>
        <v>0.48141722191172354</v>
      </c>
      <c r="H99" s="21">
        <f t="shared" si="21"/>
        <v>0.9751842551722173</v>
      </c>
      <c r="I99" s="21">
        <f t="shared" si="22"/>
        <v>0.87191229986424956</v>
      </c>
      <c r="J99" s="21">
        <f t="shared" si="23"/>
        <v>0.69384236099543783</v>
      </c>
      <c r="K99" s="21">
        <f t="shared" si="24"/>
        <v>0.9833869797597673</v>
      </c>
      <c r="L99" s="21">
        <f t="shared" si="25"/>
        <v>0.91267299999999996</v>
      </c>
      <c r="M99" s="21">
        <f t="shared" si="26"/>
        <v>0.78374335943769602</v>
      </c>
      <c r="N99" s="21">
        <f t="shared" si="27"/>
        <v>0.9875141797322291</v>
      </c>
      <c r="O99" s="21">
        <f t="shared" si="28"/>
        <v>0.93376244295015931</v>
      </c>
      <c r="P99" s="21">
        <f t="shared" si="29"/>
        <v>0.83297200492899992</v>
      </c>
      <c r="Q99" s="21">
        <f t="shared" si="30"/>
        <v>0.98999880941042806</v>
      </c>
      <c r="R99" s="21">
        <f t="shared" si="31"/>
        <v>0.94664930782047341</v>
      </c>
      <c r="S99" s="21">
        <f t="shared" si="32"/>
        <v>0.86398126371643491</v>
      </c>
      <c r="T99" s="21">
        <f t="shared" si="33"/>
        <v>0.99165870124744393</v>
      </c>
      <c r="U99" s="21">
        <f t="shared" si="34"/>
        <v>0.95533920677422213</v>
      </c>
      <c r="V99" s="21">
        <f t="shared" si="35"/>
        <v>0.88529280999999993</v>
      </c>
    </row>
    <row r="100" spans="1:22" x14ac:dyDescent="0.25">
      <c r="A100" t="str">
        <f>Tabelle2!A116</f>
        <v xml:space="preserve"> Fasolasuchus</v>
      </c>
      <c r="B100">
        <f>Tabelle2!$N116+(B$11*Tabelle2!$O116)</f>
        <v>3025</v>
      </c>
      <c r="C100">
        <f>Tabelle2!$N116+(C$11*Tabelle2!$O116)</f>
        <v>16500</v>
      </c>
      <c r="D100">
        <f>Tabelle2!$N116+(D$11*Tabelle2!$O116)</f>
        <v>44000</v>
      </c>
      <c r="E100" s="21">
        <f t="shared" si="18"/>
        <v>0.91197828213369747</v>
      </c>
      <c r="F100" s="21">
        <f t="shared" si="19"/>
        <v>0.60496968871877299</v>
      </c>
      <c r="G100" s="21">
        <f t="shared" si="20"/>
        <v>0.26179196186310572</v>
      </c>
      <c r="H100" s="21">
        <f t="shared" si="21"/>
        <v>0.95497554007089491</v>
      </c>
      <c r="I100" s="21">
        <f t="shared" si="22"/>
        <v>0.77779797423159502</v>
      </c>
      <c r="J100" s="21">
        <f t="shared" si="23"/>
        <v>0.51165609725977634</v>
      </c>
      <c r="K100" s="21">
        <f t="shared" si="24"/>
        <v>0.96975381931777227</v>
      </c>
      <c r="L100" s="21">
        <f t="shared" si="25"/>
        <v>0.84575493086832199</v>
      </c>
      <c r="M100" s="21">
        <f t="shared" si="26"/>
        <v>0.63971338229102037</v>
      </c>
      <c r="N100" s="21">
        <f t="shared" si="27"/>
        <v>0.97722849941602452</v>
      </c>
      <c r="O100" s="21">
        <f t="shared" si="28"/>
        <v>0.88192855392690117</v>
      </c>
      <c r="P100" s="21">
        <f t="shared" si="29"/>
        <v>0.71530140308808032</v>
      </c>
      <c r="Q100" s="21">
        <f t="shared" si="30"/>
        <v>0.98174093357646086</v>
      </c>
      <c r="R100" s="21">
        <f t="shared" si="31"/>
        <v>0.90437119882657746</v>
      </c>
      <c r="S100" s="21">
        <f t="shared" si="32"/>
        <v>0.76487640074287355</v>
      </c>
      <c r="T100" s="21">
        <f t="shared" si="33"/>
        <v>0.98476079294302343</v>
      </c>
      <c r="U100" s="21">
        <f t="shared" si="34"/>
        <v>0.91964935212738663</v>
      </c>
      <c r="V100" s="21">
        <f t="shared" si="35"/>
        <v>0.79982084387131369</v>
      </c>
    </row>
    <row r="101" spans="1:22" x14ac:dyDescent="0.25">
      <c r="A101" t="str">
        <f>Tabelle2!A117</f>
        <v xml:space="preserve"> Featherlight</v>
      </c>
      <c r="B101">
        <f>Tabelle2!$N117+(B$11*Tabelle2!$O117)</f>
        <v>495</v>
      </c>
      <c r="C101">
        <f>Tabelle2!$N117+(C$11*Tabelle2!$O117)</f>
        <v>2700</v>
      </c>
      <c r="D101">
        <f>Tabelle2!$N117+(D$11*Tabelle2!$O117)</f>
        <v>7200</v>
      </c>
      <c r="E101" s="21">
        <f t="shared" si="18"/>
        <v>0.98503578580358775</v>
      </c>
      <c r="F101" s="21">
        <f t="shared" si="19"/>
        <v>0.92105100871166823</v>
      </c>
      <c r="G101" s="21">
        <f t="shared" si="20"/>
        <v>0.80307570329807754</v>
      </c>
      <c r="H101" s="21">
        <f t="shared" si="21"/>
        <v>0.99248969052760827</v>
      </c>
      <c r="I101" s="21">
        <f t="shared" si="22"/>
        <v>0.9597140244425254</v>
      </c>
      <c r="J101" s="21">
        <f t="shared" si="23"/>
        <v>0.89614491199698143</v>
      </c>
      <c r="K101" s="21">
        <f t="shared" si="24"/>
        <v>0.99498683881266892</v>
      </c>
      <c r="L101" s="21">
        <f t="shared" si="25"/>
        <v>0.9729590473501305</v>
      </c>
      <c r="M101" s="21">
        <f t="shared" si="26"/>
        <v>0.92950592451927649</v>
      </c>
      <c r="N101" s="21">
        <f t="shared" si="27"/>
        <v>0.99623776806925379</v>
      </c>
      <c r="O101" s="21">
        <f t="shared" si="28"/>
        <v>0.97964994995280097</v>
      </c>
      <c r="P101" s="21">
        <f t="shared" si="29"/>
        <v>0.94664930782047341</v>
      </c>
      <c r="Q101" s="21">
        <f t="shared" si="30"/>
        <v>0.99698908039667333</v>
      </c>
      <c r="R101" s="21">
        <f t="shared" si="31"/>
        <v>0.98368655726246035</v>
      </c>
      <c r="S101" s="21">
        <f t="shared" si="32"/>
        <v>0.95708673564521296</v>
      </c>
      <c r="T101" s="21">
        <f t="shared" si="33"/>
        <v>0.99749027003408353</v>
      </c>
      <c r="U101" s="21">
        <f t="shared" si="34"/>
        <v>0.98638686495214978</v>
      </c>
      <c r="V101" s="21">
        <f t="shared" si="35"/>
        <v>0.9641088758637566</v>
      </c>
    </row>
    <row r="102" spans="1:22" x14ac:dyDescent="0.25">
      <c r="A102" t="str">
        <f>Tabelle2!A118</f>
        <v xml:space="preserve"> Fenrir</v>
      </c>
      <c r="B102">
        <f>Tabelle2!$N118+(B$11*Tabelle2!$O118)</f>
        <v>2200</v>
      </c>
      <c r="C102">
        <f>Tabelle2!$N118+(C$11*Tabelle2!$O118)</f>
        <v>12000</v>
      </c>
      <c r="D102">
        <f>Tabelle2!$N118+(D$11*Tabelle2!$O118)</f>
        <v>32000</v>
      </c>
      <c r="E102" s="21">
        <f t="shared" si="18"/>
        <v>0.93518560958784391</v>
      </c>
      <c r="F102" s="21">
        <f t="shared" si="19"/>
        <v>0.69384236099543783</v>
      </c>
      <c r="G102" s="21">
        <f t="shared" si="20"/>
        <v>0.37730755079225703</v>
      </c>
      <c r="H102" s="21">
        <f t="shared" si="21"/>
        <v>0.96704995196103694</v>
      </c>
      <c r="I102" s="21">
        <f t="shared" si="22"/>
        <v>0.83297200492899992</v>
      </c>
      <c r="J102" s="21">
        <f t="shared" si="23"/>
        <v>0.61425365346268557</v>
      </c>
      <c r="K102" s="21">
        <f t="shared" si="24"/>
        <v>0.97791086600448651</v>
      </c>
      <c r="L102" s="21">
        <f t="shared" si="25"/>
        <v>0.88529280999999993</v>
      </c>
      <c r="M102" s="21">
        <f t="shared" si="26"/>
        <v>0.72260090115384579</v>
      </c>
      <c r="N102" s="21">
        <f t="shared" si="27"/>
        <v>0.9833869797597673</v>
      </c>
      <c r="O102" s="21">
        <f t="shared" si="28"/>
        <v>0.91267299999999996</v>
      </c>
      <c r="P102" s="21">
        <f t="shared" si="29"/>
        <v>0.78374335943769602</v>
      </c>
      <c r="Q102" s="21">
        <f t="shared" si="30"/>
        <v>0.98668735633527116</v>
      </c>
      <c r="R102" s="21">
        <f t="shared" si="31"/>
        <v>0.92950592451927649</v>
      </c>
      <c r="S102" s="21">
        <f t="shared" si="32"/>
        <v>0.82288491182931811</v>
      </c>
      <c r="T102" s="21">
        <f t="shared" si="33"/>
        <v>0.98889375870438512</v>
      </c>
      <c r="U102" s="21">
        <f t="shared" si="34"/>
        <v>0.94089999999999996</v>
      </c>
      <c r="V102" s="21">
        <f t="shared" si="35"/>
        <v>0.850059351547788</v>
      </c>
    </row>
    <row r="103" spans="1:22" x14ac:dyDescent="0.25">
      <c r="A103" t="str">
        <f>Tabelle2!A119</f>
        <v xml:space="preserve"> Fenrisúlfr </v>
      </c>
      <c r="B103">
        <f>Tabelle2!$N119+(B$11*Tabelle2!$O119)</f>
        <v>5000</v>
      </c>
      <c r="C103">
        <f>Tabelle2!$N119+(C$11*Tabelle2!$O119)</f>
        <v>5000</v>
      </c>
      <c r="D103">
        <f>Tabelle2!$N119+(D$11*Tabelle2!$O119)</f>
        <v>5000</v>
      </c>
      <c r="E103" s="21">
        <f t="shared" si="18"/>
        <v>0.8587340256999999</v>
      </c>
      <c r="F103" s="21">
        <f t="shared" si="19"/>
        <v>0.8587340256999999</v>
      </c>
      <c r="G103" s="21">
        <f t="shared" si="20"/>
        <v>0.8587340256999999</v>
      </c>
      <c r="H103" s="21">
        <f t="shared" si="21"/>
        <v>0.92667903057099543</v>
      </c>
      <c r="I103" s="21">
        <f t="shared" si="22"/>
        <v>0.92667903057099543</v>
      </c>
      <c r="J103" s="21">
        <f t="shared" si="23"/>
        <v>0.92667903057099543</v>
      </c>
      <c r="K103" s="21">
        <f t="shared" si="24"/>
        <v>0.95050168357062925</v>
      </c>
      <c r="L103" s="21">
        <f t="shared" si="25"/>
        <v>0.95050168357062925</v>
      </c>
      <c r="M103" s="21">
        <f t="shared" si="26"/>
        <v>0.95050168357062925</v>
      </c>
      <c r="N103" s="21">
        <f t="shared" si="27"/>
        <v>0.96264169376305087</v>
      </c>
      <c r="O103" s="21">
        <f t="shared" si="28"/>
        <v>0.96264169376305087</v>
      </c>
      <c r="P103" s="21">
        <f t="shared" si="29"/>
        <v>0.96264169376305087</v>
      </c>
      <c r="Q103" s="21">
        <f t="shared" si="30"/>
        <v>0.97</v>
      </c>
      <c r="R103" s="21">
        <f t="shared" si="31"/>
        <v>0.97</v>
      </c>
      <c r="S103" s="21">
        <f t="shared" si="32"/>
        <v>0.97</v>
      </c>
      <c r="T103" s="21">
        <f t="shared" si="33"/>
        <v>0.97493675875444819</v>
      </c>
      <c r="U103" s="21">
        <f t="shared" si="34"/>
        <v>0.97493675875444819</v>
      </c>
      <c r="V103" s="21">
        <f t="shared" si="35"/>
        <v>0.97493675875444819</v>
      </c>
    </row>
    <row r="104" spans="1:22" x14ac:dyDescent="0.25">
      <c r="A104" t="str">
        <f>Tabelle2!A120</f>
        <v xml:space="preserve"> Fenrisúlfr </v>
      </c>
      <c r="B104">
        <f>Tabelle2!$N120+(B$11*Tabelle2!$O120)</f>
        <v>5000</v>
      </c>
      <c r="C104">
        <f>Tabelle2!$N120+(C$11*Tabelle2!$O120)</f>
        <v>5000</v>
      </c>
      <c r="D104">
        <f>Tabelle2!$N120+(D$11*Tabelle2!$O120)</f>
        <v>5000</v>
      </c>
      <c r="E104" s="21">
        <f t="shared" si="18"/>
        <v>0.8587340256999999</v>
      </c>
      <c r="F104" s="21">
        <f t="shared" si="19"/>
        <v>0.8587340256999999</v>
      </c>
      <c r="G104" s="21">
        <f t="shared" si="20"/>
        <v>0.8587340256999999</v>
      </c>
      <c r="H104" s="21">
        <f t="shared" si="21"/>
        <v>0.92667903057099543</v>
      </c>
      <c r="I104" s="21">
        <f t="shared" si="22"/>
        <v>0.92667903057099543</v>
      </c>
      <c r="J104" s="21">
        <f t="shared" si="23"/>
        <v>0.92667903057099543</v>
      </c>
      <c r="K104" s="21">
        <f t="shared" si="24"/>
        <v>0.95050168357062925</v>
      </c>
      <c r="L104" s="21">
        <f t="shared" si="25"/>
        <v>0.95050168357062925</v>
      </c>
      <c r="M104" s="21">
        <f t="shared" si="26"/>
        <v>0.95050168357062925</v>
      </c>
      <c r="N104" s="21">
        <f t="shared" si="27"/>
        <v>0.96264169376305087</v>
      </c>
      <c r="O104" s="21">
        <f t="shared" si="28"/>
        <v>0.96264169376305087</v>
      </c>
      <c r="P104" s="21">
        <f t="shared" si="29"/>
        <v>0.96264169376305087</v>
      </c>
      <c r="Q104" s="21">
        <f t="shared" si="30"/>
        <v>0.97</v>
      </c>
      <c r="R104" s="21">
        <f t="shared" si="31"/>
        <v>0.97</v>
      </c>
      <c r="S104" s="21">
        <f t="shared" si="32"/>
        <v>0.97</v>
      </c>
      <c r="T104" s="21">
        <f t="shared" si="33"/>
        <v>0.97493675875444819</v>
      </c>
      <c r="U104" s="21">
        <f t="shared" si="34"/>
        <v>0.97493675875444819</v>
      </c>
      <c r="V104" s="21">
        <f t="shared" si="35"/>
        <v>0.97493675875444819</v>
      </c>
    </row>
    <row r="105" spans="1:22" x14ac:dyDescent="0.25">
      <c r="A105" t="str">
        <f>Tabelle2!A121</f>
        <v xml:space="preserve"> Fenrisúlfr </v>
      </c>
      <c r="B105">
        <f>Tabelle2!$N121+(B$11*Tabelle2!$O121)</f>
        <v>5000</v>
      </c>
      <c r="C105">
        <f>Tabelle2!$N121+(C$11*Tabelle2!$O121)</f>
        <v>5000</v>
      </c>
      <c r="D105">
        <f>Tabelle2!$N121+(D$11*Tabelle2!$O121)</f>
        <v>5000</v>
      </c>
      <c r="E105" s="21">
        <f t="shared" si="18"/>
        <v>0.8587340256999999</v>
      </c>
      <c r="F105" s="21">
        <f t="shared" si="19"/>
        <v>0.8587340256999999</v>
      </c>
      <c r="G105" s="21">
        <f t="shared" si="20"/>
        <v>0.8587340256999999</v>
      </c>
      <c r="H105" s="21">
        <f t="shared" si="21"/>
        <v>0.92667903057099543</v>
      </c>
      <c r="I105" s="21">
        <f t="shared" si="22"/>
        <v>0.92667903057099543</v>
      </c>
      <c r="J105" s="21">
        <f t="shared" si="23"/>
        <v>0.92667903057099543</v>
      </c>
      <c r="K105" s="21">
        <f t="shared" si="24"/>
        <v>0.95050168357062925</v>
      </c>
      <c r="L105" s="21">
        <f t="shared" si="25"/>
        <v>0.95050168357062925</v>
      </c>
      <c r="M105" s="21">
        <f t="shared" si="26"/>
        <v>0.95050168357062925</v>
      </c>
      <c r="N105" s="21">
        <f t="shared" si="27"/>
        <v>0.96264169376305087</v>
      </c>
      <c r="O105" s="21">
        <f t="shared" si="28"/>
        <v>0.96264169376305087</v>
      </c>
      <c r="P105" s="21">
        <f t="shared" si="29"/>
        <v>0.96264169376305087</v>
      </c>
      <c r="Q105" s="21">
        <f t="shared" si="30"/>
        <v>0.97</v>
      </c>
      <c r="R105" s="21">
        <f t="shared" si="31"/>
        <v>0.97</v>
      </c>
      <c r="S105" s="21">
        <f t="shared" si="32"/>
        <v>0.97</v>
      </c>
      <c r="T105" s="21">
        <f t="shared" si="33"/>
        <v>0.97493675875444819</v>
      </c>
      <c r="U105" s="21">
        <f t="shared" si="34"/>
        <v>0.97493675875444819</v>
      </c>
      <c r="V105" s="21">
        <f t="shared" si="35"/>
        <v>0.97493675875444819</v>
      </c>
    </row>
    <row r="106" spans="1:22" x14ac:dyDescent="0.25">
      <c r="A106" t="str">
        <f>Tabelle2!A122</f>
        <v xml:space="preserve"> Ferox</v>
      </c>
      <c r="B106">
        <f>Tabelle2!$N122+(B$11*Tabelle2!$O122)</f>
        <v>1320</v>
      </c>
      <c r="C106">
        <f>Tabelle2!$N122+(C$11*Tabelle2!$O122)</f>
        <v>7200</v>
      </c>
      <c r="D106">
        <f>Tabelle2!$N122+(D$11*Tabelle2!$O122)</f>
        <v>19200</v>
      </c>
      <c r="E106" s="21">
        <f t="shared" si="18"/>
        <v>0.96059138909685149</v>
      </c>
      <c r="F106" s="21">
        <f t="shared" si="19"/>
        <v>0.80307570329807754</v>
      </c>
      <c r="G106" s="21">
        <f t="shared" si="20"/>
        <v>0.55720794203440982</v>
      </c>
      <c r="H106" s="21">
        <f t="shared" si="21"/>
        <v>0.98009764263406507</v>
      </c>
      <c r="I106" s="21">
        <f t="shared" si="22"/>
        <v>0.89614491199698143</v>
      </c>
      <c r="J106" s="21">
        <f t="shared" si="23"/>
        <v>0.74646362405304778</v>
      </c>
      <c r="K106" s="21">
        <f t="shared" si="24"/>
        <v>0.98668735633527116</v>
      </c>
      <c r="L106" s="21">
        <f t="shared" si="25"/>
        <v>0.92950592451927649</v>
      </c>
      <c r="M106" s="21">
        <f t="shared" si="26"/>
        <v>0.82288491182931811</v>
      </c>
      <c r="N106" s="21">
        <f t="shared" si="27"/>
        <v>0.98999880941042806</v>
      </c>
      <c r="O106" s="21">
        <f t="shared" si="28"/>
        <v>0.94664930782047341</v>
      </c>
      <c r="P106" s="21">
        <f t="shared" si="29"/>
        <v>0.86398126371643491</v>
      </c>
      <c r="Q106" s="21">
        <f t="shared" si="30"/>
        <v>0.9919910134346358</v>
      </c>
      <c r="R106" s="21">
        <f t="shared" si="31"/>
        <v>0.95708673564521296</v>
      </c>
      <c r="S106" s="21">
        <f t="shared" si="32"/>
        <v>0.88961779106104</v>
      </c>
      <c r="T106" s="21">
        <f t="shared" si="33"/>
        <v>0.99332137615943372</v>
      </c>
      <c r="U106" s="21">
        <f t="shared" si="34"/>
        <v>0.9641088758637566</v>
      </c>
      <c r="V106" s="21">
        <f t="shared" si="35"/>
        <v>0.90713004130020858</v>
      </c>
    </row>
    <row r="107" spans="1:22" x14ac:dyDescent="0.25">
      <c r="A107" t="str">
        <f>Tabelle2!A123</f>
        <v xml:space="preserve"> Fjordhawk</v>
      </c>
      <c r="B107">
        <f>Tabelle2!$N123+(B$11*Tabelle2!$O123)</f>
        <v>1100</v>
      </c>
      <c r="C107">
        <f>Tabelle2!$N123+(C$11*Tabelle2!$O123)</f>
        <v>6000</v>
      </c>
      <c r="D107">
        <f>Tabelle2!$N123+(D$11*Tabelle2!$O123)</f>
        <v>16000</v>
      </c>
      <c r="E107" s="21">
        <f t="shared" si="18"/>
        <v>0.96704995196103694</v>
      </c>
      <c r="F107" s="21">
        <f t="shared" si="19"/>
        <v>0.83297200492899992</v>
      </c>
      <c r="G107" s="21">
        <f t="shared" si="20"/>
        <v>0.61425365346268557</v>
      </c>
      <c r="H107" s="21">
        <f t="shared" si="21"/>
        <v>0.9833869797597673</v>
      </c>
      <c r="I107" s="21">
        <f t="shared" si="22"/>
        <v>0.91267299999999996</v>
      </c>
      <c r="J107" s="21">
        <f t="shared" si="23"/>
        <v>0.78374335943769602</v>
      </c>
      <c r="K107" s="21">
        <f t="shared" si="24"/>
        <v>0.98889375870438512</v>
      </c>
      <c r="L107" s="21">
        <f t="shared" si="25"/>
        <v>0.94089999999999996</v>
      </c>
      <c r="M107" s="21">
        <f t="shared" si="26"/>
        <v>0.850059351547788</v>
      </c>
      <c r="N107" s="21">
        <f t="shared" si="27"/>
        <v>0.99165870124744393</v>
      </c>
      <c r="O107" s="21">
        <f t="shared" si="28"/>
        <v>0.95533920677422213</v>
      </c>
      <c r="P107" s="21">
        <f t="shared" si="29"/>
        <v>0.88529280999999993</v>
      </c>
      <c r="Q107" s="21">
        <f t="shared" si="30"/>
        <v>0.99332137615943372</v>
      </c>
      <c r="R107" s="21">
        <f t="shared" si="31"/>
        <v>0.9641088758637566</v>
      </c>
      <c r="S107" s="21">
        <f t="shared" si="32"/>
        <v>0.90713004130020858</v>
      </c>
      <c r="T107" s="21">
        <f t="shared" si="33"/>
        <v>0.99443137455753328</v>
      </c>
      <c r="U107" s="21">
        <f t="shared" si="34"/>
        <v>0.97</v>
      </c>
      <c r="V107" s="21">
        <f t="shared" si="35"/>
        <v>0.92198663306351036</v>
      </c>
    </row>
    <row r="108" spans="1:22" x14ac:dyDescent="0.25">
      <c r="A108" t="str">
        <f>Tabelle2!A124</f>
        <v xml:space="preserve"> Forest Titan</v>
      </c>
      <c r="B108">
        <f>Tabelle2!$N124+(B$11*Tabelle2!$O124)</f>
        <v>864</v>
      </c>
      <c r="C108">
        <f>Tabelle2!$N124+(C$11*Tabelle2!$O124)</f>
        <v>864</v>
      </c>
      <c r="D108">
        <f>Tabelle2!$N124+(D$11*Tabelle2!$O124)</f>
        <v>864</v>
      </c>
      <c r="E108" s="21">
        <f t="shared" si="18"/>
        <v>0.97402651271175789</v>
      </c>
      <c r="F108" s="21">
        <f t="shared" si="19"/>
        <v>0.97402651271175789</v>
      </c>
      <c r="G108" s="21">
        <f t="shared" si="20"/>
        <v>0.97402651271175789</v>
      </c>
      <c r="H108" s="21">
        <f t="shared" si="21"/>
        <v>0.98692781535011864</v>
      </c>
      <c r="I108" s="21">
        <f t="shared" si="22"/>
        <v>0.98692781535011864</v>
      </c>
      <c r="J108" s="21">
        <f t="shared" si="23"/>
        <v>0.98692781535011864</v>
      </c>
      <c r="K108" s="21">
        <f t="shared" si="24"/>
        <v>0.99126611218350091</v>
      </c>
      <c r="L108" s="21">
        <f t="shared" si="25"/>
        <v>0.99126611218350091</v>
      </c>
      <c r="M108" s="21">
        <f t="shared" si="26"/>
        <v>0.99126611218350091</v>
      </c>
      <c r="N108" s="21">
        <f t="shared" si="27"/>
        <v>0.99344240665985195</v>
      </c>
      <c r="O108" s="21">
        <f t="shared" si="28"/>
        <v>0.99344240665985195</v>
      </c>
      <c r="P108" s="21">
        <f t="shared" si="29"/>
        <v>0.99344240665985195</v>
      </c>
      <c r="Q108" s="21">
        <f t="shared" si="30"/>
        <v>0.99475047610909118</v>
      </c>
      <c r="R108" s="21">
        <f t="shared" si="31"/>
        <v>0.99475047610909118</v>
      </c>
      <c r="S108" s="21">
        <f t="shared" si="32"/>
        <v>0.99475047610909118</v>
      </c>
      <c r="T108" s="21">
        <f t="shared" si="33"/>
        <v>0.99562347912426252</v>
      </c>
      <c r="U108" s="21">
        <f t="shared" si="34"/>
        <v>0.99562347912426252</v>
      </c>
      <c r="V108" s="21">
        <f t="shared" si="35"/>
        <v>0.99562347912426252</v>
      </c>
    </row>
    <row r="109" spans="1:22" x14ac:dyDescent="0.25">
      <c r="A109" t="str">
        <f>Tabelle2!A125</f>
        <v xml:space="preserve"> Gacha</v>
      </c>
      <c r="B109">
        <f>Tabelle2!$N125+(B$11*Tabelle2!$O125)</f>
        <v>3300</v>
      </c>
      <c r="C109">
        <f>Tabelle2!$N125+(C$11*Tabelle2!$O125)</f>
        <v>18000</v>
      </c>
      <c r="D109">
        <f>Tabelle2!$N125+(D$11*Tabelle2!$O125)</f>
        <v>48000</v>
      </c>
      <c r="E109" s="21">
        <f t="shared" si="18"/>
        <v>0.90437119882657746</v>
      </c>
      <c r="F109" s="21">
        <f t="shared" si="19"/>
        <v>0.57795126254304086</v>
      </c>
      <c r="G109" s="21">
        <f t="shared" si="20"/>
        <v>0.2317625415532017</v>
      </c>
      <c r="H109" s="21">
        <f t="shared" si="21"/>
        <v>0.9509843315357922</v>
      </c>
      <c r="I109" s="21">
        <f t="shared" si="22"/>
        <v>0.76023105865456508</v>
      </c>
      <c r="J109" s="21">
        <f t="shared" si="23"/>
        <v>0.48141722191172354</v>
      </c>
      <c r="K109" s="21">
        <f t="shared" si="24"/>
        <v>0.96704995196103694</v>
      </c>
      <c r="L109" s="21">
        <f t="shared" si="25"/>
        <v>0.83297200492899992</v>
      </c>
      <c r="M109" s="21">
        <f t="shared" si="26"/>
        <v>0.61425365346268557</v>
      </c>
      <c r="N109" s="21">
        <f t="shared" si="27"/>
        <v>0.9751842551722173</v>
      </c>
      <c r="O109" s="21">
        <f t="shared" si="28"/>
        <v>0.87191229986424956</v>
      </c>
      <c r="P109" s="21">
        <f t="shared" si="29"/>
        <v>0.69384236099543783</v>
      </c>
      <c r="Q109" s="21">
        <f t="shared" si="30"/>
        <v>0.98009764263406507</v>
      </c>
      <c r="R109" s="21">
        <f t="shared" si="31"/>
        <v>0.89614491199698143</v>
      </c>
      <c r="S109" s="21">
        <f t="shared" si="32"/>
        <v>0.74646362405304778</v>
      </c>
      <c r="T109" s="21">
        <f t="shared" si="33"/>
        <v>0.9833869797597673</v>
      </c>
      <c r="U109" s="21">
        <f t="shared" si="34"/>
        <v>0.91267299999999996</v>
      </c>
      <c r="V109" s="21">
        <f t="shared" si="35"/>
        <v>0.78374335943769602</v>
      </c>
    </row>
    <row r="110" spans="1:22" x14ac:dyDescent="0.25">
      <c r="A110" t="str">
        <f>Tabelle2!A126</f>
        <v xml:space="preserve"> Gallimimus</v>
      </c>
      <c r="B110">
        <f>Tabelle2!$N126+(B$11*Tabelle2!$O126)</f>
        <v>1100</v>
      </c>
      <c r="C110">
        <f>Tabelle2!$N126+(C$11*Tabelle2!$O126)</f>
        <v>6000</v>
      </c>
      <c r="D110">
        <f>Tabelle2!$N126+(D$11*Tabelle2!$O126)</f>
        <v>16000</v>
      </c>
      <c r="E110" s="21">
        <f t="shared" si="18"/>
        <v>0.96704995196103694</v>
      </c>
      <c r="F110" s="21">
        <f t="shared" si="19"/>
        <v>0.83297200492899992</v>
      </c>
      <c r="G110" s="21">
        <f t="shared" si="20"/>
        <v>0.61425365346268557</v>
      </c>
      <c r="H110" s="21">
        <f t="shared" si="21"/>
        <v>0.9833869797597673</v>
      </c>
      <c r="I110" s="21">
        <f t="shared" si="22"/>
        <v>0.91267299999999996</v>
      </c>
      <c r="J110" s="21">
        <f t="shared" si="23"/>
        <v>0.78374335943769602</v>
      </c>
      <c r="K110" s="21">
        <f t="shared" si="24"/>
        <v>0.98889375870438512</v>
      </c>
      <c r="L110" s="21">
        <f t="shared" si="25"/>
        <v>0.94089999999999996</v>
      </c>
      <c r="M110" s="21">
        <f t="shared" si="26"/>
        <v>0.850059351547788</v>
      </c>
      <c r="N110" s="21">
        <f t="shared" si="27"/>
        <v>0.99165870124744393</v>
      </c>
      <c r="O110" s="21">
        <f t="shared" si="28"/>
        <v>0.95533920677422213</v>
      </c>
      <c r="P110" s="21">
        <f t="shared" si="29"/>
        <v>0.88529280999999993</v>
      </c>
      <c r="Q110" s="21">
        <f t="shared" si="30"/>
        <v>0.99332137615943372</v>
      </c>
      <c r="R110" s="21">
        <f t="shared" si="31"/>
        <v>0.9641088758637566</v>
      </c>
      <c r="S110" s="21">
        <f t="shared" si="32"/>
        <v>0.90713004130020858</v>
      </c>
      <c r="T110" s="21">
        <f t="shared" si="33"/>
        <v>0.99443137455753328</v>
      </c>
      <c r="U110" s="21">
        <f t="shared" si="34"/>
        <v>0.97</v>
      </c>
      <c r="V110" s="21">
        <f t="shared" si="35"/>
        <v>0.92198663306351036</v>
      </c>
    </row>
    <row r="111" spans="1:22" x14ac:dyDescent="0.25">
      <c r="A111" t="str">
        <f>Tabelle2!A127</f>
        <v xml:space="preserve"> Gasbags</v>
      </c>
      <c r="B111">
        <f>Tabelle2!$N127+(B$11*Tabelle2!$O127)</f>
        <v>3850</v>
      </c>
      <c r="C111">
        <f>Tabelle2!$N127+(C$11*Tabelle2!$O127)</f>
        <v>21000</v>
      </c>
      <c r="D111">
        <f>Tabelle2!$N127+(D$11*Tabelle2!$O127)</f>
        <v>56000</v>
      </c>
      <c r="E111" s="21">
        <f t="shared" si="18"/>
        <v>0.88934686179578804</v>
      </c>
      <c r="F111" s="21">
        <f t="shared" si="19"/>
        <v>0.52748051263894469</v>
      </c>
      <c r="G111" s="21">
        <f t="shared" si="20"/>
        <v>0.18164235290872491</v>
      </c>
      <c r="H111" s="21">
        <f t="shared" si="21"/>
        <v>0.94305188711745236</v>
      </c>
      <c r="I111" s="21">
        <f t="shared" si="22"/>
        <v>0.72627853654017926</v>
      </c>
      <c r="J111" s="21">
        <f t="shared" si="23"/>
        <v>0.42619520516862325</v>
      </c>
      <c r="K111" s="21">
        <f t="shared" si="24"/>
        <v>0.96166481299441053</v>
      </c>
      <c r="L111" s="21">
        <f t="shared" si="25"/>
        <v>0.80798284478112992</v>
      </c>
      <c r="M111" s="21">
        <f t="shared" si="26"/>
        <v>0.56633365780302158</v>
      </c>
      <c r="N111" s="21">
        <f t="shared" si="27"/>
        <v>0.97110858667682076</v>
      </c>
      <c r="O111" s="21">
        <f t="shared" si="28"/>
        <v>0.85221977009465066</v>
      </c>
      <c r="P111" s="21">
        <f t="shared" si="29"/>
        <v>0.65283627746060746</v>
      </c>
      <c r="Q111" s="21">
        <f t="shared" si="30"/>
        <v>0.97681930803224115</v>
      </c>
      <c r="R111" s="21">
        <f t="shared" si="31"/>
        <v>0.87991614006120222</v>
      </c>
      <c r="S111" s="21">
        <f t="shared" si="32"/>
        <v>0.71095714601548132</v>
      </c>
      <c r="T111" s="21">
        <f t="shared" si="33"/>
        <v>0.98064510042849373</v>
      </c>
      <c r="U111" s="21">
        <f t="shared" si="34"/>
        <v>0.89887865965386549</v>
      </c>
      <c r="V111" s="21">
        <f t="shared" si="35"/>
        <v>0.75255143199851904</v>
      </c>
    </row>
    <row r="112" spans="1:22" x14ac:dyDescent="0.25">
      <c r="A112" t="str">
        <f>Tabelle2!A128</f>
        <v xml:space="preserve"> Giant Queen Bee</v>
      </c>
      <c r="B112">
        <f>Tabelle2!$N128+(B$11*Tabelle2!$O128)</f>
        <v>495</v>
      </c>
      <c r="C112">
        <f>Tabelle2!$N128+(C$11*Tabelle2!$O128)</f>
        <v>2700</v>
      </c>
      <c r="D112">
        <f>Tabelle2!$N128+(D$11*Tabelle2!$O128)</f>
        <v>7200</v>
      </c>
      <c r="E112" s="21">
        <f t="shared" si="18"/>
        <v>0.98503578580358775</v>
      </c>
      <c r="F112" s="21">
        <f t="shared" si="19"/>
        <v>0.92105100871166823</v>
      </c>
      <c r="G112" s="21">
        <f t="shared" si="20"/>
        <v>0.80307570329807754</v>
      </c>
      <c r="H112" s="21">
        <f t="shared" si="21"/>
        <v>0.99248969052760827</v>
      </c>
      <c r="I112" s="21">
        <f t="shared" si="22"/>
        <v>0.9597140244425254</v>
      </c>
      <c r="J112" s="21">
        <f t="shared" si="23"/>
        <v>0.89614491199698143</v>
      </c>
      <c r="K112" s="21">
        <f t="shared" si="24"/>
        <v>0.99498683881266892</v>
      </c>
      <c r="L112" s="21">
        <f t="shared" si="25"/>
        <v>0.9729590473501305</v>
      </c>
      <c r="M112" s="21">
        <f t="shared" si="26"/>
        <v>0.92950592451927649</v>
      </c>
      <c r="N112" s="21">
        <f t="shared" si="27"/>
        <v>0.99623776806925379</v>
      </c>
      <c r="O112" s="21">
        <f t="shared" si="28"/>
        <v>0.97964994995280097</v>
      </c>
      <c r="P112" s="21">
        <f t="shared" si="29"/>
        <v>0.94664930782047341</v>
      </c>
      <c r="Q112" s="21">
        <f t="shared" si="30"/>
        <v>0.99698908039667333</v>
      </c>
      <c r="R112" s="21">
        <f t="shared" si="31"/>
        <v>0.98368655726246035</v>
      </c>
      <c r="S112" s="21">
        <f t="shared" si="32"/>
        <v>0.95708673564521296</v>
      </c>
      <c r="T112" s="21">
        <f t="shared" si="33"/>
        <v>0.99749027003408353</v>
      </c>
      <c r="U112" s="21">
        <f t="shared" si="34"/>
        <v>0.98638686495214978</v>
      </c>
      <c r="V112" s="21">
        <f t="shared" si="35"/>
        <v>0.9641088758637566</v>
      </c>
    </row>
    <row r="113" spans="1:22" x14ac:dyDescent="0.25">
      <c r="A113" t="str">
        <f>Tabelle2!A129</f>
        <v xml:space="preserve"> Giganotosaurus</v>
      </c>
      <c r="B113">
        <f>Tabelle2!$N129+(B$11*Tabelle2!$O129)</f>
        <v>4010</v>
      </c>
      <c r="C113">
        <f>Tabelle2!$N129+(C$11*Tabelle2!$O129)</f>
        <v>4500</v>
      </c>
      <c r="D113">
        <f>Tabelle2!$N129+(D$11*Tabelle2!$O129)</f>
        <v>5500</v>
      </c>
      <c r="E113" s="21">
        <f t="shared" si="18"/>
        <v>0.88502319788909545</v>
      </c>
      <c r="F113" s="21">
        <f t="shared" si="19"/>
        <v>0.87191229986424956</v>
      </c>
      <c r="G113" s="21">
        <f t="shared" si="20"/>
        <v>0.84575493086832199</v>
      </c>
      <c r="H113" s="21">
        <f t="shared" si="21"/>
        <v>0.94075671556949059</v>
      </c>
      <c r="I113" s="21">
        <f t="shared" si="22"/>
        <v>0.93376244295015931</v>
      </c>
      <c r="J113" s="21">
        <f t="shared" si="23"/>
        <v>0.91964935212738663</v>
      </c>
      <c r="K113" s="21">
        <f t="shared" si="24"/>
        <v>0.96010386531341341</v>
      </c>
      <c r="L113" s="21">
        <f t="shared" si="25"/>
        <v>0.95533920677422213</v>
      </c>
      <c r="M113" s="21">
        <f t="shared" si="26"/>
        <v>0.94568865599181473</v>
      </c>
      <c r="N113" s="21">
        <f t="shared" si="27"/>
        <v>0.96992613923406079</v>
      </c>
      <c r="O113" s="21">
        <f t="shared" si="28"/>
        <v>0.96631384288447375</v>
      </c>
      <c r="P113" s="21">
        <f t="shared" si="29"/>
        <v>0.95898349940308492</v>
      </c>
      <c r="Q113" s="21">
        <f t="shared" si="30"/>
        <v>0.97586767134186236</v>
      </c>
      <c r="R113" s="21">
        <f t="shared" si="31"/>
        <v>0.9729590473501305</v>
      </c>
      <c r="S113" s="21">
        <f t="shared" si="32"/>
        <v>0.96704995196103694</v>
      </c>
      <c r="T113" s="21">
        <f t="shared" si="33"/>
        <v>0.97984889922549456</v>
      </c>
      <c r="U113" s="21">
        <f t="shared" si="34"/>
        <v>0.97741455216004536</v>
      </c>
      <c r="V113" s="21">
        <f t="shared" si="35"/>
        <v>0.97246524667558931</v>
      </c>
    </row>
    <row r="114" spans="1:22" x14ac:dyDescent="0.25">
      <c r="A114" t="str">
        <f>Tabelle2!A130</f>
        <v xml:space="preserve"> Gigantopithecus</v>
      </c>
      <c r="B114">
        <f>Tabelle2!$N130+(B$11*Tabelle2!$O130)</f>
        <v>1650</v>
      </c>
      <c r="C114">
        <f>Tabelle2!$N130+(C$11*Tabelle2!$O130)</f>
        <v>9000</v>
      </c>
      <c r="D114">
        <f>Tabelle2!$N130+(D$11*Tabelle2!$O130)</f>
        <v>24000</v>
      </c>
      <c r="E114" s="21">
        <f t="shared" si="18"/>
        <v>0.9509843315357922</v>
      </c>
      <c r="F114" s="21">
        <f t="shared" si="19"/>
        <v>0.76023105865456508</v>
      </c>
      <c r="G114" s="21">
        <f t="shared" si="20"/>
        <v>0.48141722191172354</v>
      </c>
      <c r="H114" s="21">
        <f t="shared" si="21"/>
        <v>0.9751842551722173</v>
      </c>
      <c r="I114" s="21">
        <f t="shared" si="22"/>
        <v>0.87191229986424956</v>
      </c>
      <c r="J114" s="21">
        <f t="shared" si="23"/>
        <v>0.69384236099543783</v>
      </c>
      <c r="K114" s="21">
        <f t="shared" si="24"/>
        <v>0.9833869797597673</v>
      </c>
      <c r="L114" s="21">
        <f t="shared" si="25"/>
        <v>0.91267299999999996</v>
      </c>
      <c r="M114" s="21">
        <f t="shared" si="26"/>
        <v>0.78374335943769602</v>
      </c>
      <c r="N114" s="21">
        <f t="shared" si="27"/>
        <v>0.9875141797322291</v>
      </c>
      <c r="O114" s="21">
        <f t="shared" si="28"/>
        <v>0.93376244295015931</v>
      </c>
      <c r="P114" s="21">
        <f t="shared" si="29"/>
        <v>0.83297200492899992</v>
      </c>
      <c r="Q114" s="21">
        <f t="shared" si="30"/>
        <v>0.98999880941042806</v>
      </c>
      <c r="R114" s="21">
        <f t="shared" si="31"/>
        <v>0.94664930782047341</v>
      </c>
      <c r="S114" s="21">
        <f t="shared" si="32"/>
        <v>0.86398126371643491</v>
      </c>
      <c r="T114" s="21">
        <f t="shared" si="33"/>
        <v>0.99165870124744393</v>
      </c>
      <c r="U114" s="21">
        <f t="shared" si="34"/>
        <v>0.95533920677422213</v>
      </c>
      <c r="V114" s="21">
        <f t="shared" si="35"/>
        <v>0.88529280999999993</v>
      </c>
    </row>
    <row r="115" spans="1:22" x14ac:dyDescent="0.25">
      <c r="A115" t="str">
        <f>Tabelle2!A131</f>
        <v xml:space="preserve"> Gigantoraptor</v>
      </c>
      <c r="B115">
        <f>Tabelle2!$N131+(B$11*Tabelle2!$O131)</f>
        <v>3300</v>
      </c>
      <c r="C115">
        <f>Tabelle2!$N131+(C$11*Tabelle2!$O131)</f>
        <v>18000</v>
      </c>
      <c r="D115">
        <f>Tabelle2!$N131+(D$11*Tabelle2!$O131)</f>
        <v>48000</v>
      </c>
      <c r="E115" s="21">
        <f t="shared" si="18"/>
        <v>0.90437119882657746</v>
      </c>
      <c r="F115" s="21">
        <f t="shared" si="19"/>
        <v>0.57795126254304086</v>
      </c>
      <c r="G115" s="21">
        <f t="shared" si="20"/>
        <v>0.2317625415532017</v>
      </c>
      <c r="H115" s="21">
        <f t="shared" si="21"/>
        <v>0.9509843315357922</v>
      </c>
      <c r="I115" s="21">
        <f t="shared" si="22"/>
        <v>0.76023105865456508</v>
      </c>
      <c r="J115" s="21">
        <f t="shared" si="23"/>
        <v>0.48141722191172354</v>
      </c>
      <c r="K115" s="21">
        <f t="shared" si="24"/>
        <v>0.96704995196103694</v>
      </c>
      <c r="L115" s="21">
        <f t="shared" si="25"/>
        <v>0.83297200492899992</v>
      </c>
      <c r="M115" s="21">
        <f t="shared" si="26"/>
        <v>0.61425365346268557</v>
      </c>
      <c r="N115" s="21">
        <f t="shared" si="27"/>
        <v>0.9751842551722173</v>
      </c>
      <c r="O115" s="21">
        <f t="shared" si="28"/>
        <v>0.87191229986424956</v>
      </c>
      <c r="P115" s="21">
        <f t="shared" si="29"/>
        <v>0.69384236099543783</v>
      </c>
      <c r="Q115" s="21">
        <f t="shared" si="30"/>
        <v>0.98009764263406507</v>
      </c>
      <c r="R115" s="21">
        <f t="shared" si="31"/>
        <v>0.89614491199698143</v>
      </c>
      <c r="S115" s="21">
        <f t="shared" si="32"/>
        <v>0.74646362405304778</v>
      </c>
      <c r="T115" s="21">
        <f t="shared" si="33"/>
        <v>0.9833869797597673</v>
      </c>
      <c r="U115" s="21">
        <f t="shared" si="34"/>
        <v>0.91267299999999996</v>
      </c>
      <c r="V115" s="21">
        <f t="shared" si="35"/>
        <v>0.78374335943769602</v>
      </c>
    </row>
    <row r="116" spans="1:22" x14ac:dyDescent="0.25">
      <c r="A116" t="str">
        <f>Tabelle2!A132</f>
        <v xml:space="preserve"> Glowbug</v>
      </c>
      <c r="B116">
        <f>Tabelle2!$N132+(B$11*Tabelle2!$O132)</f>
        <v>495</v>
      </c>
      <c r="C116">
        <f>Tabelle2!$N132+(C$11*Tabelle2!$O132)</f>
        <v>2700</v>
      </c>
      <c r="D116">
        <f>Tabelle2!$N132+(D$11*Tabelle2!$O132)</f>
        <v>7200</v>
      </c>
      <c r="E116" s="21">
        <f t="shared" si="18"/>
        <v>0.98503578580358775</v>
      </c>
      <c r="F116" s="21">
        <f t="shared" si="19"/>
        <v>0.92105100871166823</v>
      </c>
      <c r="G116" s="21">
        <f t="shared" si="20"/>
        <v>0.80307570329807754</v>
      </c>
      <c r="H116" s="21">
        <f t="shared" si="21"/>
        <v>0.99248969052760827</v>
      </c>
      <c r="I116" s="21">
        <f t="shared" si="22"/>
        <v>0.9597140244425254</v>
      </c>
      <c r="J116" s="21">
        <f t="shared" si="23"/>
        <v>0.89614491199698143</v>
      </c>
      <c r="K116" s="21">
        <f t="shared" si="24"/>
        <v>0.99498683881266892</v>
      </c>
      <c r="L116" s="21">
        <f t="shared" si="25"/>
        <v>0.9729590473501305</v>
      </c>
      <c r="M116" s="21">
        <f t="shared" si="26"/>
        <v>0.92950592451927649</v>
      </c>
      <c r="N116" s="21">
        <f t="shared" si="27"/>
        <v>0.99623776806925379</v>
      </c>
      <c r="O116" s="21">
        <f t="shared" si="28"/>
        <v>0.97964994995280097</v>
      </c>
      <c r="P116" s="21">
        <f t="shared" si="29"/>
        <v>0.94664930782047341</v>
      </c>
      <c r="Q116" s="21">
        <f t="shared" si="30"/>
        <v>0.99698908039667333</v>
      </c>
      <c r="R116" s="21">
        <f t="shared" si="31"/>
        <v>0.98368655726246035</v>
      </c>
      <c r="S116" s="21">
        <f t="shared" si="32"/>
        <v>0.95708673564521296</v>
      </c>
      <c r="T116" s="21">
        <f t="shared" si="33"/>
        <v>0.99749027003408353</v>
      </c>
      <c r="U116" s="21">
        <f t="shared" si="34"/>
        <v>0.98638686495214978</v>
      </c>
      <c r="V116" s="21">
        <f t="shared" si="35"/>
        <v>0.9641088758637566</v>
      </c>
    </row>
    <row r="117" spans="1:22" x14ac:dyDescent="0.25">
      <c r="A117" t="str">
        <f>Tabelle2!A133</f>
        <v xml:space="preserve"> Glowtail</v>
      </c>
      <c r="B117">
        <f>Tabelle2!$N133+(B$11*Tabelle2!$O133)</f>
        <v>495</v>
      </c>
      <c r="C117">
        <f>Tabelle2!$N133+(C$11*Tabelle2!$O133)</f>
        <v>2700</v>
      </c>
      <c r="D117">
        <f>Tabelle2!$N133+(D$11*Tabelle2!$O133)</f>
        <v>7200</v>
      </c>
      <c r="E117" s="21">
        <f t="shared" si="18"/>
        <v>0.98503578580358775</v>
      </c>
      <c r="F117" s="21">
        <f t="shared" si="19"/>
        <v>0.92105100871166823</v>
      </c>
      <c r="G117" s="21">
        <f t="shared" si="20"/>
        <v>0.80307570329807754</v>
      </c>
      <c r="H117" s="21">
        <f t="shared" si="21"/>
        <v>0.99248969052760827</v>
      </c>
      <c r="I117" s="21">
        <f t="shared" si="22"/>
        <v>0.9597140244425254</v>
      </c>
      <c r="J117" s="21">
        <f t="shared" si="23"/>
        <v>0.89614491199698143</v>
      </c>
      <c r="K117" s="21">
        <f t="shared" si="24"/>
        <v>0.99498683881266892</v>
      </c>
      <c r="L117" s="21">
        <f t="shared" si="25"/>
        <v>0.9729590473501305</v>
      </c>
      <c r="M117" s="21">
        <f t="shared" si="26"/>
        <v>0.92950592451927649</v>
      </c>
      <c r="N117" s="21">
        <f t="shared" si="27"/>
        <v>0.99623776806925379</v>
      </c>
      <c r="O117" s="21">
        <f t="shared" si="28"/>
        <v>0.97964994995280097</v>
      </c>
      <c r="P117" s="21">
        <f t="shared" si="29"/>
        <v>0.94664930782047341</v>
      </c>
      <c r="Q117" s="21">
        <f t="shared" si="30"/>
        <v>0.99698908039667333</v>
      </c>
      <c r="R117" s="21">
        <f t="shared" si="31"/>
        <v>0.98368655726246035</v>
      </c>
      <c r="S117" s="21">
        <f t="shared" si="32"/>
        <v>0.95708673564521296</v>
      </c>
      <c r="T117" s="21">
        <f t="shared" si="33"/>
        <v>0.99749027003408353</v>
      </c>
      <c r="U117" s="21">
        <f t="shared" si="34"/>
        <v>0.98638686495214978</v>
      </c>
      <c r="V117" s="21">
        <f t="shared" si="35"/>
        <v>0.9641088758637566</v>
      </c>
    </row>
    <row r="118" spans="1:22" x14ac:dyDescent="0.25">
      <c r="A118" t="str">
        <f>Tabelle2!A134</f>
        <v xml:space="preserve"> Griffin</v>
      </c>
      <c r="B118">
        <f>Tabelle2!$N134+(B$11*Tabelle2!$O134)</f>
        <v>1760</v>
      </c>
      <c r="C118">
        <f>Tabelle2!$N134+(C$11*Tabelle2!$O134)</f>
        <v>9600</v>
      </c>
      <c r="D118">
        <f>Tabelle2!$N134+(D$11*Tabelle2!$O134)</f>
        <v>25600</v>
      </c>
      <c r="E118" s="21">
        <f t="shared" si="18"/>
        <v>0.94780337822639815</v>
      </c>
      <c r="F118" s="21">
        <f t="shared" si="19"/>
        <v>0.74646362405304778</v>
      </c>
      <c r="G118" s="21">
        <f t="shared" si="20"/>
        <v>0.45851800825158107</v>
      </c>
      <c r="H118" s="21">
        <f t="shared" si="21"/>
        <v>0.97355193915188631</v>
      </c>
      <c r="I118" s="21">
        <f t="shared" si="22"/>
        <v>0.86398126371643491</v>
      </c>
      <c r="J118" s="21">
        <f t="shared" si="23"/>
        <v>0.67713957811634451</v>
      </c>
      <c r="K118" s="21">
        <f t="shared" si="24"/>
        <v>0.98228930927171476</v>
      </c>
      <c r="L118" s="21">
        <f t="shared" si="25"/>
        <v>0.90713004130020858</v>
      </c>
      <c r="M118" s="21">
        <f t="shared" si="26"/>
        <v>0.77111437467717336</v>
      </c>
      <c r="N118" s="21">
        <f t="shared" si="27"/>
        <v>0.98668735633527116</v>
      </c>
      <c r="O118" s="21">
        <f t="shared" si="28"/>
        <v>0.92950592451927649</v>
      </c>
      <c r="P118" s="21">
        <f t="shared" si="29"/>
        <v>0.82288491182931811</v>
      </c>
      <c r="Q118" s="21">
        <f t="shared" si="30"/>
        <v>0.98933563089285692</v>
      </c>
      <c r="R118" s="21">
        <f t="shared" si="31"/>
        <v>0.94319552112011218</v>
      </c>
      <c r="S118" s="21">
        <f t="shared" si="32"/>
        <v>0.85560099202785911</v>
      </c>
      <c r="T118" s="21">
        <f t="shared" si="33"/>
        <v>0.99110509496809407</v>
      </c>
      <c r="U118" s="21">
        <f t="shared" si="34"/>
        <v>0.95243374640980072</v>
      </c>
      <c r="V118" s="21">
        <f t="shared" si="35"/>
        <v>0.87813118306843729</v>
      </c>
    </row>
    <row r="119" spans="1:22" x14ac:dyDescent="0.25">
      <c r="A119" t="str">
        <f>Tabelle2!A135</f>
        <v xml:space="preserve">Sköll </v>
      </c>
      <c r="B119">
        <f>Tabelle2!$N135+(B$11*Tabelle2!$O135)</f>
        <v>5000</v>
      </c>
      <c r="C119">
        <f>Tabelle2!$N135+(C$11*Tabelle2!$O135)</f>
        <v>5000</v>
      </c>
      <c r="D119">
        <f>Tabelle2!$N135+(D$11*Tabelle2!$O135)</f>
        <v>5000</v>
      </c>
      <c r="E119" s="21">
        <f t="shared" si="18"/>
        <v>0.8587340256999999</v>
      </c>
      <c r="F119" s="21">
        <f t="shared" si="19"/>
        <v>0.8587340256999999</v>
      </c>
      <c r="G119" s="21">
        <f t="shared" si="20"/>
        <v>0.8587340256999999</v>
      </c>
      <c r="H119" s="21">
        <f t="shared" si="21"/>
        <v>0.92667903057099543</v>
      </c>
      <c r="I119" s="21">
        <f t="shared" si="22"/>
        <v>0.92667903057099543</v>
      </c>
      <c r="J119" s="21">
        <f t="shared" si="23"/>
        <v>0.92667903057099543</v>
      </c>
      <c r="K119" s="21">
        <f t="shared" si="24"/>
        <v>0.95050168357062925</v>
      </c>
      <c r="L119" s="21">
        <f t="shared" si="25"/>
        <v>0.95050168357062925</v>
      </c>
      <c r="M119" s="21">
        <f t="shared" si="26"/>
        <v>0.95050168357062925</v>
      </c>
      <c r="N119" s="21">
        <f t="shared" si="27"/>
        <v>0.96264169376305087</v>
      </c>
      <c r="O119" s="21">
        <f t="shared" si="28"/>
        <v>0.96264169376305087</v>
      </c>
      <c r="P119" s="21">
        <f t="shared" si="29"/>
        <v>0.96264169376305087</v>
      </c>
      <c r="Q119" s="21">
        <f t="shared" si="30"/>
        <v>0.97</v>
      </c>
      <c r="R119" s="21">
        <f t="shared" si="31"/>
        <v>0.97</v>
      </c>
      <c r="S119" s="21">
        <f t="shared" si="32"/>
        <v>0.97</v>
      </c>
      <c r="T119" s="21">
        <f t="shared" si="33"/>
        <v>0.97493675875444819</v>
      </c>
      <c r="U119" s="21">
        <f t="shared" si="34"/>
        <v>0.97493675875444819</v>
      </c>
      <c r="V119" s="21">
        <f t="shared" si="35"/>
        <v>0.97493675875444819</v>
      </c>
    </row>
    <row r="120" spans="1:22" x14ac:dyDescent="0.25">
      <c r="A120" t="str">
        <f>Tabelle2!A136</f>
        <v xml:space="preserve"> Hati </v>
      </c>
      <c r="B120">
        <f>Tabelle2!$N136+(B$11*Tabelle2!$O136)</f>
        <v>5000</v>
      </c>
      <c r="C120">
        <f>Tabelle2!$N136+(C$11*Tabelle2!$O136)</f>
        <v>5000</v>
      </c>
      <c r="D120">
        <f>Tabelle2!$N136+(D$11*Tabelle2!$O136)</f>
        <v>5000</v>
      </c>
      <c r="E120" s="21">
        <f t="shared" si="18"/>
        <v>0.8587340256999999</v>
      </c>
      <c r="F120" s="21">
        <f t="shared" si="19"/>
        <v>0.8587340256999999</v>
      </c>
      <c r="G120" s="21">
        <f t="shared" si="20"/>
        <v>0.8587340256999999</v>
      </c>
      <c r="H120" s="21">
        <f t="shared" si="21"/>
        <v>0.92667903057099543</v>
      </c>
      <c r="I120" s="21">
        <f t="shared" si="22"/>
        <v>0.92667903057099543</v>
      </c>
      <c r="J120" s="21">
        <f t="shared" si="23"/>
        <v>0.92667903057099543</v>
      </c>
      <c r="K120" s="21">
        <f t="shared" si="24"/>
        <v>0.95050168357062925</v>
      </c>
      <c r="L120" s="21">
        <f t="shared" si="25"/>
        <v>0.95050168357062925</v>
      </c>
      <c r="M120" s="21">
        <f t="shared" si="26"/>
        <v>0.95050168357062925</v>
      </c>
      <c r="N120" s="21">
        <f t="shared" si="27"/>
        <v>0.96264169376305087</v>
      </c>
      <c r="O120" s="21">
        <f t="shared" si="28"/>
        <v>0.96264169376305087</v>
      </c>
      <c r="P120" s="21">
        <f t="shared" si="29"/>
        <v>0.96264169376305087</v>
      </c>
      <c r="Q120" s="21">
        <f t="shared" si="30"/>
        <v>0.97</v>
      </c>
      <c r="R120" s="21">
        <f t="shared" si="31"/>
        <v>0.97</v>
      </c>
      <c r="S120" s="21">
        <f t="shared" si="32"/>
        <v>0.97</v>
      </c>
      <c r="T120" s="21">
        <f t="shared" si="33"/>
        <v>0.97493675875444819</v>
      </c>
      <c r="U120" s="21">
        <f t="shared" si="34"/>
        <v>0.97493675875444819</v>
      </c>
      <c r="V120" s="21">
        <f t="shared" si="35"/>
        <v>0.97493675875444819</v>
      </c>
    </row>
    <row r="121" spans="1:22" x14ac:dyDescent="0.25">
      <c r="A121" t="str">
        <f>Tabelle2!A137</f>
        <v xml:space="preserve"> Helicoprion</v>
      </c>
      <c r="B121">
        <f>Tabelle2!$N137+(B$11*Tabelle2!$O137)</f>
        <v>2200</v>
      </c>
      <c r="C121">
        <f>Tabelle2!$N137+(C$11*Tabelle2!$O137)</f>
        <v>12000</v>
      </c>
      <c r="D121">
        <f>Tabelle2!$N137+(D$11*Tabelle2!$O137)</f>
        <v>32000</v>
      </c>
      <c r="E121" s="21">
        <f t="shared" si="18"/>
        <v>0.93518560958784391</v>
      </c>
      <c r="F121" s="21">
        <f t="shared" si="19"/>
        <v>0.69384236099543783</v>
      </c>
      <c r="G121" s="21">
        <f t="shared" si="20"/>
        <v>0.37730755079225703</v>
      </c>
      <c r="H121" s="21">
        <f t="shared" si="21"/>
        <v>0.96704995196103694</v>
      </c>
      <c r="I121" s="21">
        <f t="shared" si="22"/>
        <v>0.83297200492899992</v>
      </c>
      <c r="J121" s="21">
        <f t="shared" si="23"/>
        <v>0.61425365346268557</v>
      </c>
      <c r="K121" s="21">
        <f t="shared" si="24"/>
        <v>0.97791086600448651</v>
      </c>
      <c r="L121" s="21">
        <f t="shared" si="25"/>
        <v>0.88529280999999993</v>
      </c>
      <c r="M121" s="21">
        <f t="shared" si="26"/>
        <v>0.72260090115384579</v>
      </c>
      <c r="N121" s="21">
        <f t="shared" si="27"/>
        <v>0.9833869797597673</v>
      </c>
      <c r="O121" s="21">
        <f t="shared" si="28"/>
        <v>0.91267299999999996</v>
      </c>
      <c r="P121" s="21">
        <f t="shared" si="29"/>
        <v>0.78374335943769602</v>
      </c>
      <c r="Q121" s="21">
        <f t="shared" si="30"/>
        <v>0.98668735633527116</v>
      </c>
      <c r="R121" s="21">
        <f t="shared" si="31"/>
        <v>0.92950592451927649</v>
      </c>
      <c r="S121" s="21">
        <f t="shared" si="32"/>
        <v>0.82288491182931811</v>
      </c>
      <c r="T121" s="21">
        <f t="shared" si="33"/>
        <v>0.98889375870438512</v>
      </c>
      <c r="U121" s="21">
        <f t="shared" si="34"/>
        <v>0.94089999999999996</v>
      </c>
      <c r="V121" s="21">
        <f t="shared" si="35"/>
        <v>0.850059351547788</v>
      </c>
    </row>
    <row r="122" spans="1:22" x14ac:dyDescent="0.25">
      <c r="A122" t="str">
        <f>Tabelle2!A138</f>
        <v xml:space="preserve"> Hesperornis</v>
      </c>
      <c r="B122">
        <f>Tabelle2!$N138+(B$11*Tabelle2!$O138)</f>
        <v>990</v>
      </c>
      <c r="C122">
        <f>Tabelle2!$N138+(C$11*Tabelle2!$O138)</f>
        <v>5400</v>
      </c>
      <c r="D122">
        <f>Tabelle2!$N138+(D$11*Tabelle2!$O138)</f>
        <v>14400</v>
      </c>
      <c r="E122" s="21">
        <f t="shared" si="18"/>
        <v>0.97029549931369152</v>
      </c>
      <c r="F122" s="21">
        <f t="shared" si="19"/>
        <v>0.84833496064878156</v>
      </c>
      <c r="G122" s="21">
        <f t="shared" si="20"/>
        <v>0.64493058522770197</v>
      </c>
      <c r="H122" s="21">
        <f t="shared" si="21"/>
        <v>0.98503578580358775</v>
      </c>
      <c r="I122" s="21">
        <f t="shared" si="22"/>
        <v>0.92105100871166823</v>
      </c>
      <c r="J122" s="21">
        <f t="shared" si="23"/>
        <v>0.80307570329807754</v>
      </c>
      <c r="K122" s="21">
        <f t="shared" si="24"/>
        <v>0.98999880941042806</v>
      </c>
      <c r="L122" s="21">
        <f t="shared" si="25"/>
        <v>0.94664930782047341</v>
      </c>
      <c r="M122" s="21">
        <f t="shared" si="26"/>
        <v>0.86398126371643491</v>
      </c>
      <c r="N122" s="21">
        <f t="shared" si="27"/>
        <v>0.99248969052760827</v>
      </c>
      <c r="O122" s="21">
        <f t="shared" si="28"/>
        <v>0.9597140244425254</v>
      </c>
      <c r="P122" s="21">
        <f t="shared" si="29"/>
        <v>0.89614491199698143</v>
      </c>
      <c r="Q122" s="21">
        <f t="shared" si="30"/>
        <v>0.99398722643020432</v>
      </c>
      <c r="R122" s="21">
        <f t="shared" si="31"/>
        <v>0.96763924293887171</v>
      </c>
      <c r="S122" s="21">
        <f t="shared" si="32"/>
        <v>0.91601501954800979</v>
      </c>
      <c r="T122" s="21">
        <f t="shared" si="33"/>
        <v>0.99498683881266892</v>
      </c>
      <c r="U122" s="21">
        <f t="shared" si="34"/>
        <v>0.9729590473501305</v>
      </c>
      <c r="V122" s="21">
        <f t="shared" si="35"/>
        <v>0.92950592451927649</v>
      </c>
    </row>
    <row r="123" spans="1:22" x14ac:dyDescent="0.25">
      <c r="A123" t="str">
        <f>Tabelle2!A139</f>
        <v xml:space="preserve"> Hyaenodon</v>
      </c>
      <c r="B123">
        <f>Tabelle2!$N139+(B$11*Tabelle2!$O139)</f>
        <v>1320</v>
      </c>
      <c r="C123">
        <f>Tabelle2!$N139+(C$11*Tabelle2!$O139)</f>
        <v>7200</v>
      </c>
      <c r="D123">
        <f>Tabelle2!$N139+(D$11*Tabelle2!$O139)</f>
        <v>19200</v>
      </c>
      <c r="E123" s="21">
        <f t="shared" si="18"/>
        <v>0.96059138909685149</v>
      </c>
      <c r="F123" s="21">
        <f t="shared" si="19"/>
        <v>0.80307570329807754</v>
      </c>
      <c r="G123" s="21">
        <f t="shared" si="20"/>
        <v>0.55720794203440982</v>
      </c>
      <c r="H123" s="21">
        <f t="shared" si="21"/>
        <v>0.98009764263406507</v>
      </c>
      <c r="I123" s="21">
        <f t="shared" si="22"/>
        <v>0.89614491199698143</v>
      </c>
      <c r="J123" s="21">
        <f t="shared" si="23"/>
        <v>0.74646362405304778</v>
      </c>
      <c r="K123" s="21">
        <f t="shared" si="24"/>
        <v>0.98668735633527116</v>
      </c>
      <c r="L123" s="21">
        <f t="shared" si="25"/>
        <v>0.92950592451927649</v>
      </c>
      <c r="M123" s="21">
        <f t="shared" si="26"/>
        <v>0.82288491182931811</v>
      </c>
      <c r="N123" s="21">
        <f t="shared" si="27"/>
        <v>0.98999880941042806</v>
      </c>
      <c r="O123" s="21">
        <f t="shared" si="28"/>
        <v>0.94664930782047341</v>
      </c>
      <c r="P123" s="21">
        <f t="shared" si="29"/>
        <v>0.86398126371643491</v>
      </c>
      <c r="Q123" s="21">
        <f t="shared" si="30"/>
        <v>0.9919910134346358</v>
      </c>
      <c r="R123" s="21">
        <f t="shared" si="31"/>
        <v>0.95708673564521296</v>
      </c>
      <c r="S123" s="21">
        <f t="shared" si="32"/>
        <v>0.88961779106104</v>
      </c>
      <c r="T123" s="21">
        <f t="shared" si="33"/>
        <v>0.99332137615943372</v>
      </c>
      <c r="U123" s="21">
        <f t="shared" si="34"/>
        <v>0.9641088758637566</v>
      </c>
      <c r="V123" s="21">
        <f t="shared" si="35"/>
        <v>0.90713004130020858</v>
      </c>
    </row>
    <row r="124" spans="1:22" x14ac:dyDescent="0.25">
      <c r="A124" t="str">
        <f>Tabelle2!A140</f>
        <v xml:space="preserve"> Ice Titan </v>
      </c>
      <c r="B124">
        <f>Tabelle2!$N140+(B$11*Tabelle2!$O140)</f>
        <v>864</v>
      </c>
      <c r="C124">
        <f>Tabelle2!$N140+(C$11*Tabelle2!$O140)</f>
        <v>864</v>
      </c>
      <c r="D124">
        <f>Tabelle2!$N140+(D$11*Tabelle2!$O140)</f>
        <v>864</v>
      </c>
      <c r="E124" s="21">
        <f t="shared" si="18"/>
        <v>0.97402651271175789</v>
      </c>
      <c r="F124" s="21">
        <f t="shared" si="19"/>
        <v>0.97402651271175789</v>
      </c>
      <c r="G124" s="21">
        <f t="shared" si="20"/>
        <v>0.97402651271175789</v>
      </c>
      <c r="H124" s="21">
        <f t="shared" si="21"/>
        <v>0.98692781535011864</v>
      </c>
      <c r="I124" s="21">
        <f t="shared" si="22"/>
        <v>0.98692781535011864</v>
      </c>
      <c r="J124" s="21">
        <f t="shared" si="23"/>
        <v>0.98692781535011864</v>
      </c>
      <c r="K124" s="21">
        <f t="shared" si="24"/>
        <v>0.99126611218350091</v>
      </c>
      <c r="L124" s="21">
        <f t="shared" si="25"/>
        <v>0.99126611218350091</v>
      </c>
      <c r="M124" s="21">
        <f t="shared" si="26"/>
        <v>0.99126611218350091</v>
      </c>
      <c r="N124" s="21">
        <f t="shared" si="27"/>
        <v>0.99344240665985195</v>
      </c>
      <c r="O124" s="21">
        <f t="shared" si="28"/>
        <v>0.99344240665985195</v>
      </c>
      <c r="P124" s="21">
        <f t="shared" si="29"/>
        <v>0.99344240665985195</v>
      </c>
      <c r="Q124" s="21">
        <f t="shared" si="30"/>
        <v>0.99475047610909118</v>
      </c>
      <c r="R124" s="21">
        <f t="shared" si="31"/>
        <v>0.99475047610909118</v>
      </c>
      <c r="S124" s="21">
        <f t="shared" si="32"/>
        <v>0.99475047610909118</v>
      </c>
      <c r="T124" s="21">
        <f t="shared" si="33"/>
        <v>0.99562347912426252</v>
      </c>
      <c r="U124" s="21">
        <f t="shared" si="34"/>
        <v>0.99562347912426252</v>
      </c>
      <c r="V124" s="21">
        <f t="shared" si="35"/>
        <v>0.99562347912426252</v>
      </c>
    </row>
    <row r="125" spans="1:22" x14ac:dyDescent="0.25">
      <c r="A125" t="str">
        <f>Tabelle2!A141</f>
        <v xml:space="preserve"> Ichthyornis</v>
      </c>
      <c r="B125">
        <f>Tabelle2!$N141+(B$11*Tabelle2!$O141)</f>
        <v>1100</v>
      </c>
      <c r="C125">
        <f>Tabelle2!$N141+(C$11*Tabelle2!$O141)</f>
        <v>6000</v>
      </c>
      <c r="D125">
        <f>Tabelle2!$N141+(D$11*Tabelle2!$O141)</f>
        <v>16000</v>
      </c>
      <c r="E125" s="21">
        <f t="shared" si="18"/>
        <v>0.96704995196103694</v>
      </c>
      <c r="F125" s="21">
        <f t="shared" si="19"/>
        <v>0.83297200492899992</v>
      </c>
      <c r="G125" s="21">
        <f t="shared" si="20"/>
        <v>0.61425365346268557</v>
      </c>
      <c r="H125" s="21">
        <f t="shared" si="21"/>
        <v>0.9833869797597673</v>
      </c>
      <c r="I125" s="21">
        <f t="shared" si="22"/>
        <v>0.91267299999999996</v>
      </c>
      <c r="J125" s="21">
        <f t="shared" si="23"/>
        <v>0.78374335943769602</v>
      </c>
      <c r="K125" s="21">
        <f t="shared" si="24"/>
        <v>0.98889375870438512</v>
      </c>
      <c r="L125" s="21">
        <f t="shared" si="25"/>
        <v>0.94089999999999996</v>
      </c>
      <c r="M125" s="21">
        <f t="shared" si="26"/>
        <v>0.850059351547788</v>
      </c>
      <c r="N125" s="21">
        <f t="shared" si="27"/>
        <v>0.99165870124744393</v>
      </c>
      <c r="O125" s="21">
        <f t="shared" si="28"/>
        <v>0.95533920677422213</v>
      </c>
      <c r="P125" s="21">
        <f t="shared" si="29"/>
        <v>0.88529280999999993</v>
      </c>
      <c r="Q125" s="21">
        <f t="shared" si="30"/>
        <v>0.99332137615943372</v>
      </c>
      <c r="R125" s="21">
        <f t="shared" si="31"/>
        <v>0.9641088758637566</v>
      </c>
      <c r="S125" s="21">
        <f t="shared" si="32"/>
        <v>0.90713004130020858</v>
      </c>
      <c r="T125" s="21">
        <f t="shared" si="33"/>
        <v>0.99443137455753328</v>
      </c>
      <c r="U125" s="21">
        <f t="shared" si="34"/>
        <v>0.97</v>
      </c>
      <c r="V125" s="21">
        <f t="shared" si="35"/>
        <v>0.92198663306351036</v>
      </c>
    </row>
    <row r="126" spans="1:22" x14ac:dyDescent="0.25">
      <c r="A126" t="str">
        <f>Tabelle2!A142</f>
        <v xml:space="preserve"> Ichthyosaurus</v>
      </c>
      <c r="B126">
        <f>Tabelle2!$N142+(B$11*Tabelle2!$O142)</f>
        <v>1100</v>
      </c>
      <c r="C126">
        <f>Tabelle2!$N142+(C$11*Tabelle2!$O142)</f>
        <v>6000</v>
      </c>
      <c r="D126">
        <f>Tabelle2!$N142+(D$11*Tabelle2!$O142)</f>
        <v>16000</v>
      </c>
      <c r="E126" s="21">
        <f t="shared" si="18"/>
        <v>0.96704995196103694</v>
      </c>
      <c r="F126" s="21">
        <f t="shared" si="19"/>
        <v>0.83297200492899992</v>
      </c>
      <c r="G126" s="21">
        <f t="shared" si="20"/>
        <v>0.61425365346268557</v>
      </c>
      <c r="H126" s="21">
        <f t="shared" si="21"/>
        <v>0.9833869797597673</v>
      </c>
      <c r="I126" s="21">
        <f t="shared" si="22"/>
        <v>0.91267299999999996</v>
      </c>
      <c r="J126" s="21">
        <f t="shared" si="23"/>
        <v>0.78374335943769602</v>
      </c>
      <c r="K126" s="21">
        <f t="shared" si="24"/>
        <v>0.98889375870438512</v>
      </c>
      <c r="L126" s="21">
        <f t="shared" si="25"/>
        <v>0.94089999999999996</v>
      </c>
      <c r="M126" s="21">
        <f t="shared" si="26"/>
        <v>0.850059351547788</v>
      </c>
      <c r="N126" s="21">
        <f t="shared" si="27"/>
        <v>0.99165870124744393</v>
      </c>
      <c r="O126" s="21">
        <f t="shared" si="28"/>
        <v>0.95533920677422213</v>
      </c>
      <c r="P126" s="21">
        <f t="shared" si="29"/>
        <v>0.88529280999999993</v>
      </c>
      <c r="Q126" s="21">
        <f t="shared" si="30"/>
        <v>0.99332137615943372</v>
      </c>
      <c r="R126" s="21">
        <f t="shared" si="31"/>
        <v>0.9641088758637566</v>
      </c>
      <c r="S126" s="21">
        <f t="shared" si="32"/>
        <v>0.90713004130020858</v>
      </c>
      <c r="T126" s="21">
        <f t="shared" si="33"/>
        <v>0.99443137455753328</v>
      </c>
      <c r="U126" s="21">
        <f t="shared" si="34"/>
        <v>0.97</v>
      </c>
      <c r="V126" s="21">
        <f t="shared" si="35"/>
        <v>0.92198663306351036</v>
      </c>
    </row>
    <row r="127" spans="1:22" x14ac:dyDescent="0.25">
      <c r="A127" t="str">
        <f>Tabelle2!A143</f>
        <v xml:space="preserve"> Iguanodon</v>
      </c>
      <c r="B127">
        <f>Tabelle2!$N143+(B$11*Tabelle2!$O143)</f>
        <v>1980</v>
      </c>
      <c r="C127">
        <f>Tabelle2!$N143+(C$11*Tabelle2!$O143)</f>
        <v>10800</v>
      </c>
      <c r="D127">
        <f>Tabelle2!$N143+(D$11*Tabelle2!$O143)</f>
        <v>28800</v>
      </c>
      <c r="E127" s="21">
        <f t="shared" si="18"/>
        <v>0.94147335598840609</v>
      </c>
      <c r="F127" s="21">
        <f t="shared" si="19"/>
        <v>0.7196722054589697</v>
      </c>
      <c r="G127" s="21">
        <f t="shared" si="20"/>
        <v>0.41593545976214608</v>
      </c>
      <c r="H127" s="21">
        <f t="shared" si="21"/>
        <v>0.97029549931369152</v>
      </c>
      <c r="I127" s="21">
        <f t="shared" si="22"/>
        <v>0.84833496064878156</v>
      </c>
      <c r="J127" s="21">
        <f t="shared" si="23"/>
        <v>0.64493058522770197</v>
      </c>
      <c r="K127" s="21">
        <f t="shared" si="24"/>
        <v>0.98009764263406507</v>
      </c>
      <c r="L127" s="21">
        <f t="shared" si="25"/>
        <v>0.89614491199698143</v>
      </c>
      <c r="M127" s="21">
        <f t="shared" si="26"/>
        <v>0.74646362405304778</v>
      </c>
      <c r="N127" s="21">
        <f t="shared" si="27"/>
        <v>0.98503578580358775</v>
      </c>
      <c r="O127" s="21">
        <f t="shared" si="28"/>
        <v>0.92105100871166823</v>
      </c>
      <c r="P127" s="21">
        <f t="shared" si="29"/>
        <v>0.80307570329807754</v>
      </c>
      <c r="Q127" s="21">
        <f t="shared" si="30"/>
        <v>0.98801060630641035</v>
      </c>
      <c r="R127" s="21">
        <f t="shared" si="31"/>
        <v>0.93632570447531271</v>
      </c>
      <c r="S127" s="21">
        <f t="shared" si="32"/>
        <v>0.83908351603754072</v>
      </c>
      <c r="T127" s="21">
        <f t="shared" si="33"/>
        <v>0.98999880941042806</v>
      </c>
      <c r="U127" s="21">
        <f t="shared" si="34"/>
        <v>0.94664930782047341</v>
      </c>
      <c r="V127" s="21">
        <f t="shared" si="35"/>
        <v>0.86398126371643491</v>
      </c>
    </row>
    <row r="128" spans="1:22" x14ac:dyDescent="0.25">
      <c r="A128" t="str">
        <f>Tabelle2!A144</f>
        <v xml:space="preserve"> Jerboa</v>
      </c>
      <c r="B128">
        <f>Tabelle2!$N144+(B$11*Tabelle2!$O144)</f>
        <v>495</v>
      </c>
      <c r="C128">
        <f>Tabelle2!$N144+(C$11*Tabelle2!$O144)</f>
        <v>2700</v>
      </c>
      <c r="D128">
        <f>Tabelle2!$N144+(D$11*Tabelle2!$O144)</f>
        <v>7200</v>
      </c>
      <c r="E128" s="21">
        <f t="shared" si="18"/>
        <v>0.98503578580358775</v>
      </c>
      <c r="F128" s="21">
        <f t="shared" si="19"/>
        <v>0.92105100871166823</v>
      </c>
      <c r="G128" s="21">
        <f t="shared" si="20"/>
        <v>0.80307570329807754</v>
      </c>
      <c r="H128" s="21">
        <f t="shared" si="21"/>
        <v>0.99248969052760827</v>
      </c>
      <c r="I128" s="21">
        <f t="shared" si="22"/>
        <v>0.9597140244425254</v>
      </c>
      <c r="J128" s="21">
        <f t="shared" si="23"/>
        <v>0.89614491199698143</v>
      </c>
      <c r="K128" s="21">
        <f t="shared" si="24"/>
        <v>0.99498683881266892</v>
      </c>
      <c r="L128" s="21">
        <f t="shared" si="25"/>
        <v>0.9729590473501305</v>
      </c>
      <c r="M128" s="21">
        <f t="shared" si="26"/>
        <v>0.92950592451927649</v>
      </c>
      <c r="N128" s="21">
        <f t="shared" si="27"/>
        <v>0.99623776806925379</v>
      </c>
      <c r="O128" s="21">
        <f t="shared" si="28"/>
        <v>0.97964994995280097</v>
      </c>
      <c r="P128" s="21">
        <f t="shared" si="29"/>
        <v>0.94664930782047341</v>
      </c>
      <c r="Q128" s="21">
        <f t="shared" si="30"/>
        <v>0.99698908039667333</v>
      </c>
      <c r="R128" s="21">
        <f t="shared" si="31"/>
        <v>0.98368655726246035</v>
      </c>
      <c r="S128" s="21">
        <f t="shared" si="32"/>
        <v>0.95708673564521296</v>
      </c>
      <c r="T128" s="21">
        <f t="shared" si="33"/>
        <v>0.99749027003408353</v>
      </c>
      <c r="U128" s="21">
        <f t="shared" si="34"/>
        <v>0.98638686495214978</v>
      </c>
      <c r="V128" s="21">
        <f t="shared" si="35"/>
        <v>0.9641088758637566</v>
      </c>
    </row>
    <row r="129" spans="1:22" x14ac:dyDescent="0.25">
      <c r="A129" t="str">
        <f>Tabelle2!A145</f>
        <v xml:space="preserve"> Kairuku</v>
      </c>
      <c r="B129">
        <f>Tabelle2!$N145+(B$11*Tabelle2!$O145)</f>
        <v>990</v>
      </c>
      <c r="C129">
        <f>Tabelle2!$N145+(C$11*Tabelle2!$O145)</f>
        <v>5400</v>
      </c>
      <c r="D129">
        <f>Tabelle2!$N145+(D$11*Tabelle2!$O145)</f>
        <v>14400</v>
      </c>
      <c r="E129" s="21">
        <f t="shared" si="18"/>
        <v>0.97029549931369152</v>
      </c>
      <c r="F129" s="21">
        <f t="shared" si="19"/>
        <v>0.84833496064878156</v>
      </c>
      <c r="G129" s="21">
        <f t="shared" si="20"/>
        <v>0.64493058522770197</v>
      </c>
      <c r="H129" s="21">
        <f t="shared" si="21"/>
        <v>0.98503578580358775</v>
      </c>
      <c r="I129" s="21">
        <f t="shared" si="22"/>
        <v>0.92105100871166823</v>
      </c>
      <c r="J129" s="21">
        <f t="shared" si="23"/>
        <v>0.80307570329807754</v>
      </c>
      <c r="K129" s="21">
        <f t="shared" si="24"/>
        <v>0.98999880941042806</v>
      </c>
      <c r="L129" s="21">
        <f t="shared" si="25"/>
        <v>0.94664930782047341</v>
      </c>
      <c r="M129" s="21">
        <f t="shared" si="26"/>
        <v>0.86398126371643491</v>
      </c>
      <c r="N129" s="21">
        <f t="shared" si="27"/>
        <v>0.99248969052760827</v>
      </c>
      <c r="O129" s="21">
        <f t="shared" si="28"/>
        <v>0.9597140244425254</v>
      </c>
      <c r="P129" s="21">
        <f t="shared" si="29"/>
        <v>0.89614491199698143</v>
      </c>
      <c r="Q129" s="21">
        <f t="shared" si="30"/>
        <v>0.99398722643020432</v>
      </c>
      <c r="R129" s="21">
        <f t="shared" si="31"/>
        <v>0.96763924293887171</v>
      </c>
      <c r="S129" s="21">
        <f t="shared" si="32"/>
        <v>0.91601501954800979</v>
      </c>
      <c r="T129" s="21">
        <f t="shared" si="33"/>
        <v>0.99498683881266892</v>
      </c>
      <c r="U129" s="21">
        <f t="shared" si="34"/>
        <v>0.9729590473501305</v>
      </c>
      <c r="V129" s="21">
        <f t="shared" si="35"/>
        <v>0.92950592451927649</v>
      </c>
    </row>
    <row r="130" spans="1:22" x14ac:dyDescent="0.25">
      <c r="A130" t="str">
        <f>Tabelle2!A146</f>
        <v xml:space="preserve"> Kaprosuchus</v>
      </c>
      <c r="B130">
        <f>Tabelle2!$N146+(B$11*Tabelle2!$O146)</f>
        <v>1320</v>
      </c>
      <c r="C130">
        <f>Tabelle2!$N146+(C$11*Tabelle2!$O146)</f>
        <v>7200</v>
      </c>
      <c r="D130">
        <f>Tabelle2!$N146+(D$11*Tabelle2!$O146)</f>
        <v>19200</v>
      </c>
      <c r="E130" s="21">
        <f t="shared" si="18"/>
        <v>0.96059138909685149</v>
      </c>
      <c r="F130" s="21">
        <f t="shared" si="19"/>
        <v>0.80307570329807754</v>
      </c>
      <c r="G130" s="21">
        <f t="shared" si="20"/>
        <v>0.55720794203440982</v>
      </c>
      <c r="H130" s="21">
        <f t="shared" si="21"/>
        <v>0.98009764263406507</v>
      </c>
      <c r="I130" s="21">
        <f t="shared" si="22"/>
        <v>0.89614491199698143</v>
      </c>
      <c r="J130" s="21">
        <f t="shared" si="23"/>
        <v>0.74646362405304778</v>
      </c>
      <c r="K130" s="21">
        <f t="shared" si="24"/>
        <v>0.98668735633527116</v>
      </c>
      <c r="L130" s="21">
        <f t="shared" si="25"/>
        <v>0.92950592451927649</v>
      </c>
      <c r="M130" s="21">
        <f t="shared" si="26"/>
        <v>0.82288491182931811</v>
      </c>
      <c r="N130" s="21">
        <f t="shared" si="27"/>
        <v>0.98999880941042806</v>
      </c>
      <c r="O130" s="21">
        <f t="shared" si="28"/>
        <v>0.94664930782047341</v>
      </c>
      <c r="P130" s="21">
        <f t="shared" si="29"/>
        <v>0.86398126371643491</v>
      </c>
      <c r="Q130" s="21">
        <f t="shared" si="30"/>
        <v>0.9919910134346358</v>
      </c>
      <c r="R130" s="21">
        <f t="shared" si="31"/>
        <v>0.95708673564521296</v>
      </c>
      <c r="S130" s="21">
        <f t="shared" si="32"/>
        <v>0.88961779106104</v>
      </c>
      <c r="T130" s="21">
        <f t="shared" si="33"/>
        <v>0.99332137615943372</v>
      </c>
      <c r="U130" s="21">
        <f t="shared" si="34"/>
        <v>0.9641088758637566</v>
      </c>
      <c r="V130" s="21">
        <f t="shared" si="35"/>
        <v>0.90713004130020858</v>
      </c>
    </row>
    <row r="131" spans="1:22" x14ac:dyDescent="0.25">
      <c r="A131" t="str">
        <f>Tabelle2!A147</f>
        <v xml:space="preserve"> Karkinos</v>
      </c>
      <c r="B131">
        <f>Tabelle2!$N147+(B$11*Tabelle2!$O147)</f>
        <v>5500</v>
      </c>
      <c r="C131">
        <f>Tabelle2!$N147+(C$11*Tabelle2!$O147)</f>
        <v>30000</v>
      </c>
      <c r="D131">
        <f>Tabelle2!$N147+(D$11*Tabelle2!$O147)</f>
        <v>80000</v>
      </c>
      <c r="E131" s="21">
        <f t="shared" si="18"/>
        <v>0.84575493086832199</v>
      </c>
      <c r="F131" s="21">
        <f t="shared" si="19"/>
        <v>0.4010070685431576</v>
      </c>
      <c r="G131" s="21">
        <f t="shared" si="20"/>
        <v>8.7445756918827236E-2</v>
      </c>
      <c r="H131" s="21">
        <f t="shared" si="21"/>
        <v>0.91964935212738663</v>
      </c>
      <c r="I131" s="21">
        <f t="shared" si="22"/>
        <v>0.63325118913678924</v>
      </c>
      <c r="J131" s="21">
        <f t="shared" si="23"/>
        <v>0.29571228739913263</v>
      </c>
      <c r="K131" s="21">
        <f t="shared" si="24"/>
        <v>0.94568865599181473</v>
      </c>
      <c r="L131" s="21">
        <f t="shared" si="25"/>
        <v>0.7374241268949282</v>
      </c>
      <c r="M131" s="21">
        <f t="shared" si="26"/>
        <v>0.44386024352917858</v>
      </c>
      <c r="N131" s="21">
        <f t="shared" si="27"/>
        <v>0.95898349940308492</v>
      </c>
      <c r="O131" s="21">
        <f t="shared" si="28"/>
        <v>0.79577081445400422</v>
      </c>
      <c r="P131" s="21">
        <f t="shared" si="29"/>
        <v>0.54379434292674711</v>
      </c>
      <c r="Q131" s="21">
        <f t="shared" si="30"/>
        <v>0.96704995196103694</v>
      </c>
      <c r="R131" s="21">
        <f t="shared" si="31"/>
        <v>0.83297200492899992</v>
      </c>
      <c r="S131" s="21">
        <f t="shared" si="32"/>
        <v>0.61425365346268557</v>
      </c>
      <c r="T131" s="21">
        <f t="shared" si="33"/>
        <v>0.97246524667558931</v>
      </c>
      <c r="U131" s="21">
        <f t="shared" si="34"/>
        <v>0.8587340256999999</v>
      </c>
      <c r="V131" s="21">
        <f t="shared" si="35"/>
        <v>0.66622837190349271</v>
      </c>
    </row>
    <row r="132" spans="1:22" x14ac:dyDescent="0.25">
      <c r="A132" t="str">
        <f>Tabelle2!A148</f>
        <v xml:space="preserve"> Kentrosaurus</v>
      </c>
      <c r="B132">
        <f>Tabelle2!$N148+(B$11*Tabelle2!$O148)</f>
        <v>6600</v>
      </c>
      <c r="C132">
        <f>Tabelle2!$N148+(C$11*Tabelle2!$O148)</f>
        <v>36000</v>
      </c>
      <c r="D132">
        <f>Tabelle2!$N148+(D$11*Tabelle2!$O148)</f>
        <v>96000</v>
      </c>
      <c r="E132" s="21">
        <f t="shared" si="18"/>
        <v>0.81788726526702094</v>
      </c>
      <c r="F132" s="21">
        <f t="shared" si="19"/>
        <v>0.33402766187509492</v>
      </c>
      <c r="G132" s="21">
        <f t="shared" si="20"/>
        <v>5.3713875667199547E-2</v>
      </c>
      <c r="H132" s="21">
        <f t="shared" si="21"/>
        <v>0.90437119882657746</v>
      </c>
      <c r="I132" s="21">
        <f t="shared" si="22"/>
        <v>0.57795126254304086</v>
      </c>
      <c r="J132" s="21">
        <f t="shared" si="23"/>
        <v>0.2317625415532017</v>
      </c>
      <c r="K132" s="21">
        <f t="shared" si="24"/>
        <v>0.93518560958784391</v>
      </c>
      <c r="L132" s="21">
        <f t="shared" si="25"/>
        <v>0.69384236099543783</v>
      </c>
      <c r="M132" s="21">
        <f t="shared" si="26"/>
        <v>0.37730755079225703</v>
      </c>
      <c r="N132" s="21">
        <f t="shared" si="27"/>
        <v>0.9509843315357922</v>
      </c>
      <c r="O132" s="21">
        <f t="shared" si="28"/>
        <v>0.76023105865456508</v>
      </c>
      <c r="P132" s="21">
        <f t="shared" si="29"/>
        <v>0.48141722191172354</v>
      </c>
      <c r="Q132" s="21">
        <f t="shared" si="30"/>
        <v>0.96059138909685149</v>
      </c>
      <c r="R132" s="21">
        <f t="shared" si="31"/>
        <v>0.80307570329807754</v>
      </c>
      <c r="S132" s="21">
        <f t="shared" si="32"/>
        <v>0.55720794203440982</v>
      </c>
      <c r="T132" s="21">
        <f t="shared" si="33"/>
        <v>0.96704995196103694</v>
      </c>
      <c r="U132" s="21">
        <f t="shared" si="34"/>
        <v>0.83297200492899992</v>
      </c>
      <c r="V132" s="21">
        <f t="shared" si="35"/>
        <v>0.61425365346268557</v>
      </c>
    </row>
    <row r="133" spans="1:22" x14ac:dyDescent="0.25">
      <c r="A133" t="str">
        <f>Tabelle2!A149</f>
        <v xml:space="preserve"> King Titan </v>
      </c>
      <c r="B133">
        <f>Tabelle2!$N149+(B$11*Tabelle2!$O149)</f>
        <v>100</v>
      </c>
      <c r="C133">
        <f>Tabelle2!$N149+(C$11*Tabelle2!$O149)</f>
        <v>100</v>
      </c>
      <c r="D133">
        <f>Tabelle2!$N149+(D$11*Tabelle2!$O149)</f>
        <v>100</v>
      </c>
      <c r="E133" s="21">
        <f t="shared" si="18"/>
        <v>0.99695871336189379</v>
      </c>
      <c r="F133" s="21">
        <f t="shared" si="19"/>
        <v>0.99695871336189379</v>
      </c>
      <c r="G133" s="21">
        <f t="shared" si="20"/>
        <v>0.99695871336189379</v>
      </c>
      <c r="H133" s="21">
        <f t="shared" si="21"/>
        <v>0.99847819874141153</v>
      </c>
      <c r="I133" s="21">
        <f t="shared" si="22"/>
        <v>0.99847819874141153</v>
      </c>
      <c r="J133" s="21">
        <f t="shared" si="23"/>
        <v>0.99847819874141153</v>
      </c>
      <c r="K133" s="21">
        <f t="shared" si="24"/>
        <v>0.99898520833351645</v>
      </c>
      <c r="L133" s="21">
        <f t="shared" si="25"/>
        <v>0.99898520833351645</v>
      </c>
      <c r="M133" s="21">
        <f t="shared" si="26"/>
        <v>0.99898520833351645</v>
      </c>
      <c r="N133" s="21">
        <f t="shared" si="27"/>
        <v>0.99923880966534295</v>
      </c>
      <c r="O133" s="21">
        <f t="shared" si="28"/>
        <v>0.99923880966534295</v>
      </c>
      <c r="P133" s="21">
        <f t="shared" si="29"/>
        <v>0.99923880966534295</v>
      </c>
      <c r="Q133" s="21">
        <f t="shared" si="30"/>
        <v>0.99939100136529713</v>
      </c>
      <c r="R133" s="21">
        <f t="shared" si="31"/>
        <v>0.99939100136529713</v>
      </c>
      <c r="S133" s="21">
        <f t="shared" si="32"/>
        <v>0.99939100136529713</v>
      </c>
      <c r="T133" s="21">
        <f t="shared" si="33"/>
        <v>0.99949247537613628</v>
      </c>
      <c r="U133" s="21">
        <f t="shared" si="34"/>
        <v>0.99949247537613628</v>
      </c>
      <c r="V133" s="21">
        <f t="shared" si="35"/>
        <v>0.99949247537613628</v>
      </c>
    </row>
    <row r="134" spans="1:22" x14ac:dyDescent="0.25">
      <c r="A134" t="str">
        <f>Tabelle2!A150</f>
        <v xml:space="preserve"> King Titan </v>
      </c>
      <c r="B134">
        <f>Tabelle2!$N150+(B$11*Tabelle2!$O150)</f>
        <v>100</v>
      </c>
      <c r="C134">
        <f>Tabelle2!$N150+(C$11*Tabelle2!$O150)</f>
        <v>100</v>
      </c>
      <c r="D134">
        <f>Tabelle2!$N150+(D$11*Tabelle2!$O150)</f>
        <v>100</v>
      </c>
      <c r="E134" s="21">
        <f t="shared" si="18"/>
        <v>0.99695871336189379</v>
      </c>
      <c r="F134" s="21">
        <f t="shared" si="19"/>
        <v>0.99695871336189379</v>
      </c>
      <c r="G134" s="21">
        <f t="shared" si="20"/>
        <v>0.99695871336189379</v>
      </c>
      <c r="H134" s="21">
        <f t="shared" si="21"/>
        <v>0.99847819874141153</v>
      </c>
      <c r="I134" s="21">
        <f t="shared" si="22"/>
        <v>0.99847819874141153</v>
      </c>
      <c r="J134" s="21">
        <f t="shared" si="23"/>
        <v>0.99847819874141153</v>
      </c>
      <c r="K134" s="21">
        <f t="shared" si="24"/>
        <v>0.99898520833351645</v>
      </c>
      <c r="L134" s="21">
        <f t="shared" si="25"/>
        <v>0.99898520833351645</v>
      </c>
      <c r="M134" s="21">
        <f t="shared" si="26"/>
        <v>0.99898520833351645</v>
      </c>
      <c r="N134" s="21">
        <f t="shared" si="27"/>
        <v>0.99923880966534295</v>
      </c>
      <c r="O134" s="21">
        <f t="shared" si="28"/>
        <v>0.99923880966534295</v>
      </c>
      <c r="P134" s="21">
        <f t="shared" si="29"/>
        <v>0.99923880966534295</v>
      </c>
      <c r="Q134" s="21">
        <f t="shared" si="30"/>
        <v>0.99939100136529713</v>
      </c>
      <c r="R134" s="21">
        <f t="shared" si="31"/>
        <v>0.99939100136529713</v>
      </c>
      <c r="S134" s="21">
        <f t="shared" si="32"/>
        <v>0.99939100136529713</v>
      </c>
      <c r="T134" s="21">
        <f t="shared" si="33"/>
        <v>0.99949247537613628</v>
      </c>
      <c r="U134" s="21">
        <f t="shared" si="34"/>
        <v>0.99949247537613628</v>
      </c>
      <c r="V134" s="21">
        <f t="shared" si="35"/>
        <v>0.99949247537613628</v>
      </c>
    </row>
    <row r="135" spans="1:22" x14ac:dyDescent="0.25">
      <c r="A135" t="str">
        <f>Tabelle2!A151</f>
        <v xml:space="preserve"> King Titan </v>
      </c>
      <c r="B135">
        <f>Tabelle2!$N151+(B$11*Tabelle2!$O151)</f>
        <v>100</v>
      </c>
      <c r="C135">
        <f>Tabelle2!$N151+(C$11*Tabelle2!$O151)</f>
        <v>100</v>
      </c>
      <c r="D135">
        <f>Tabelle2!$N151+(D$11*Tabelle2!$O151)</f>
        <v>100</v>
      </c>
      <c r="E135" s="21">
        <f t="shared" si="18"/>
        <v>0.99695871336189379</v>
      </c>
      <c r="F135" s="21">
        <f t="shared" si="19"/>
        <v>0.99695871336189379</v>
      </c>
      <c r="G135" s="21">
        <f t="shared" si="20"/>
        <v>0.99695871336189379</v>
      </c>
      <c r="H135" s="21">
        <f t="shared" si="21"/>
        <v>0.99847819874141153</v>
      </c>
      <c r="I135" s="21">
        <f t="shared" si="22"/>
        <v>0.99847819874141153</v>
      </c>
      <c r="J135" s="21">
        <f t="shared" si="23"/>
        <v>0.99847819874141153</v>
      </c>
      <c r="K135" s="21">
        <f t="shared" si="24"/>
        <v>0.99898520833351645</v>
      </c>
      <c r="L135" s="21">
        <f t="shared" si="25"/>
        <v>0.99898520833351645</v>
      </c>
      <c r="M135" s="21">
        <f t="shared" si="26"/>
        <v>0.99898520833351645</v>
      </c>
      <c r="N135" s="21">
        <f t="shared" si="27"/>
        <v>0.99923880966534295</v>
      </c>
      <c r="O135" s="21">
        <f t="shared" si="28"/>
        <v>0.99923880966534295</v>
      </c>
      <c r="P135" s="21">
        <f t="shared" si="29"/>
        <v>0.99923880966534295</v>
      </c>
      <c r="Q135" s="21">
        <f t="shared" si="30"/>
        <v>0.99939100136529713</v>
      </c>
      <c r="R135" s="21">
        <f t="shared" si="31"/>
        <v>0.99939100136529713</v>
      </c>
      <c r="S135" s="21">
        <f t="shared" si="32"/>
        <v>0.99939100136529713</v>
      </c>
      <c r="T135" s="21">
        <f t="shared" si="33"/>
        <v>0.99949247537613628</v>
      </c>
      <c r="U135" s="21">
        <f t="shared" si="34"/>
        <v>0.99949247537613628</v>
      </c>
      <c r="V135" s="21">
        <f t="shared" si="35"/>
        <v>0.99949247537613628</v>
      </c>
    </row>
    <row r="136" spans="1:22" x14ac:dyDescent="0.25">
      <c r="A136" t="str">
        <f>Tabelle2!A152</f>
        <v xml:space="preserve"> Leedsichthys</v>
      </c>
      <c r="B136">
        <f>Tabelle2!$N152+(B$11*Tabelle2!$O152)</f>
        <v>8800</v>
      </c>
      <c r="C136">
        <f>Tabelle2!$N152+(C$11*Tabelle2!$O152)</f>
        <v>48000</v>
      </c>
      <c r="D136">
        <f>Tabelle2!$N152+(D$11*Tabelle2!$O152)</f>
        <v>128000</v>
      </c>
      <c r="E136" s="21">
        <f t="shared" si="18"/>
        <v>0.76487640074287355</v>
      </c>
      <c r="F136" s="21">
        <f t="shared" si="19"/>
        <v>0.2317625415532017</v>
      </c>
      <c r="G136" s="21">
        <f t="shared" si="20"/>
        <v>2.0266650871550874E-2</v>
      </c>
      <c r="H136" s="21">
        <f t="shared" si="21"/>
        <v>0.87457212438018717</v>
      </c>
      <c r="I136" s="21">
        <f t="shared" si="22"/>
        <v>0.48141722191172354</v>
      </c>
      <c r="J136" s="21">
        <f t="shared" si="23"/>
        <v>0.14236098788485163</v>
      </c>
      <c r="K136" s="21">
        <f t="shared" si="24"/>
        <v>0.91452816934698211</v>
      </c>
      <c r="L136" s="21">
        <f t="shared" si="25"/>
        <v>0.61425365346268557</v>
      </c>
      <c r="M136" s="21">
        <f t="shared" si="26"/>
        <v>0.27264277621463529</v>
      </c>
      <c r="N136" s="21">
        <f t="shared" si="27"/>
        <v>0.93518560958784391</v>
      </c>
      <c r="O136" s="21">
        <f t="shared" si="28"/>
        <v>0.69384236099543783</v>
      </c>
      <c r="P136" s="21">
        <f t="shared" si="29"/>
        <v>0.37730755079225703</v>
      </c>
      <c r="Q136" s="21">
        <f t="shared" si="30"/>
        <v>0.94780337822639815</v>
      </c>
      <c r="R136" s="21">
        <f t="shared" si="31"/>
        <v>0.74646362405304778</v>
      </c>
      <c r="S136" s="21">
        <f t="shared" si="32"/>
        <v>0.45851800825158107</v>
      </c>
      <c r="T136" s="21">
        <f t="shared" si="33"/>
        <v>0.95630966184964483</v>
      </c>
      <c r="U136" s="21">
        <f t="shared" si="34"/>
        <v>0.78374335943769602</v>
      </c>
      <c r="V136" s="21">
        <f t="shared" si="35"/>
        <v>0.5221520623483501</v>
      </c>
    </row>
    <row r="137" spans="1:22" x14ac:dyDescent="0.25">
      <c r="A137" t="str">
        <f>Tabelle2!A153</f>
        <v xml:space="preserve"> Liopleurodon</v>
      </c>
      <c r="B137">
        <f>Tabelle2!$N153+(B$11*Tabelle2!$O153)</f>
        <v>2200</v>
      </c>
      <c r="C137">
        <f>Tabelle2!$N153+(C$11*Tabelle2!$O153)</f>
        <v>12000</v>
      </c>
      <c r="D137">
        <f>Tabelle2!$N153+(D$11*Tabelle2!$O153)</f>
        <v>32000</v>
      </c>
      <c r="E137" s="21">
        <f t="shared" si="18"/>
        <v>0.93518560958784391</v>
      </c>
      <c r="F137" s="21">
        <f t="shared" si="19"/>
        <v>0.69384236099543783</v>
      </c>
      <c r="G137" s="21">
        <f t="shared" si="20"/>
        <v>0.37730755079225703</v>
      </c>
      <c r="H137" s="21">
        <f t="shared" si="21"/>
        <v>0.96704995196103694</v>
      </c>
      <c r="I137" s="21">
        <f t="shared" si="22"/>
        <v>0.83297200492899992</v>
      </c>
      <c r="J137" s="21">
        <f t="shared" si="23"/>
        <v>0.61425365346268557</v>
      </c>
      <c r="K137" s="21">
        <f t="shared" si="24"/>
        <v>0.97791086600448651</v>
      </c>
      <c r="L137" s="21">
        <f t="shared" si="25"/>
        <v>0.88529280999999993</v>
      </c>
      <c r="M137" s="21">
        <f t="shared" si="26"/>
        <v>0.72260090115384579</v>
      </c>
      <c r="N137" s="21">
        <f t="shared" si="27"/>
        <v>0.9833869797597673</v>
      </c>
      <c r="O137" s="21">
        <f t="shared" si="28"/>
        <v>0.91267299999999996</v>
      </c>
      <c r="P137" s="21">
        <f t="shared" si="29"/>
        <v>0.78374335943769602</v>
      </c>
      <c r="Q137" s="21">
        <f t="shared" si="30"/>
        <v>0.98668735633527116</v>
      </c>
      <c r="R137" s="21">
        <f t="shared" si="31"/>
        <v>0.92950592451927649</v>
      </c>
      <c r="S137" s="21">
        <f t="shared" si="32"/>
        <v>0.82288491182931811</v>
      </c>
      <c r="T137" s="21">
        <f t="shared" si="33"/>
        <v>0.98889375870438512</v>
      </c>
      <c r="U137" s="21">
        <f t="shared" si="34"/>
        <v>0.94089999999999996</v>
      </c>
      <c r="V137" s="21">
        <f t="shared" si="35"/>
        <v>0.850059351547788</v>
      </c>
    </row>
    <row r="138" spans="1:22" x14ac:dyDescent="0.25">
      <c r="A138" t="str">
        <f>Tabelle2!A154</f>
        <v xml:space="preserve"> Lymantria</v>
      </c>
      <c r="B138">
        <f>Tabelle2!$N154+(B$11*Tabelle2!$O154)</f>
        <v>2200</v>
      </c>
      <c r="C138">
        <f>Tabelle2!$N154+(C$11*Tabelle2!$O154)</f>
        <v>12000</v>
      </c>
      <c r="D138">
        <f>Tabelle2!$N154+(D$11*Tabelle2!$O154)</f>
        <v>32000</v>
      </c>
      <c r="E138" s="21">
        <f t="shared" si="18"/>
        <v>0.93518560958784391</v>
      </c>
      <c r="F138" s="21">
        <f t="shared" si="19"/>
        <v>0.69384236099543783</v>
      </c>
      <c r="G138" s="21">
        <f t="shared" si="20"/>
        <v>0.37730755079225703</v>
      </c>
      <c r="H138" s="21">
        <f t="shared" si="21"/>
        <v>0.96704995196103694</v>
      </c>
      <c r="I138" s="21">
        <f t="shared" si="22"/>
        <v>0.83297200492899992</v>
      </c>
      <c r="J138" s="21">
        <f t="shared" si="23"/>
        <v>0.61425365346268557</v>
      </c>
      <c r="K138" s="21">
        <f t="shared" si="24"/>
        <v>0.97791086600448651</v>
      </c>
      <c r="L138" s="21">
        <f t="shared" si="25"/>
        <v>0.88529280999999993</v>
      </c>
      <c r="M138" s="21">
        <f t="shared" si="26"/>
        <v>0.72260090115384579</v>
      </c>
      <c r="N138" s="21">
        <f t="shared" si="27"/>
        <v>0.9833869797597673</v>
      </c>
      <c r="O138" s="21">
        <f t="shared" si="28"/>
        <v>0.91267299999999996</v>
      </c>
      <c r="P138" s="21">
        <f t="shared" si="29"/>
        <v>0.78374335943769602</v>
      </c>
      <c r="Q138" s="21">
        <f t="shared" si="30"/>
        <v>0.98668735633527116</v>
      </c>
      <c r="R138" s="21">
        <f t="shared" si="31"/>
        <v>0.92950592451927649</v>
      </c>
      <c r="S138" s="21">
        <f t="shared" si="32"/>
        <v>0.82288491182931811</v>
      </c>
      <c r="T138" s="21">
        <f t="shared" si="33"/>
        <v>0.98889375870438512</v>
      </c>
      <c r="U138" s="21">
        <f t="shared" si="34"/>
        <v>0.94089999999999996</v>
      </c>
      <c r="V138" s="21">
        <f t="shared" si="35"/>
        <v>0.850059351547788</v>
      </c>
    </row>
    <row r="139" spans="1:22" x14ac:dyDescent="0.25">
      <c r="A139" t="str">
        <f>Tabelle2!A155</f>
        <v xml:space="preserve"> Lystrosaurus</v>
      </c>
      <c r="B139">
        <f>Tabelle2!$N155+(B$11*Tabelle2!$O155)</f>
        <v>550</v>
      </c>
      <c r="C139">
        <f>Tabelle2!$N155+(C$11*Tabelle2!$O155)</f>
        <v>3000</v>
      </c>
      <c r="D139">
        <f>Tabelle2!$N155+(D$11*Tabelle2!$O155)</f>
        <v>8000</v>
      </c>
      <c r="E139" s="21">
        <f t="shared" si="18"/>
        <v>0.9833869797597673</v>
      </c>
      <c r="F139" s="21">
        <f t="shared" si="19"/>
        <v>0.91267299999999996</v>
      </c>
      <c r="G139" s="21">
        <f t="shared" si="20"/>
        <v>0.78374335943769602</v>
      </c>
      <c r="H139" s="21">
        <f t="shared" si="21"/>
        <v>0.99165870124744393</v>
      </c>
      <c r="I139" s="21">
        <f t="shared" si="22"/>
        <v>0.95533920677422213</v>
      </c>
      <c r="J139" s="21">
        <f t="shared" si="23"/>
        <v>0.88529280999999993</v>
      </c>
      <c r="K139" s="21">
        <f t="shared" si="24"/>
        <v>0.99443137455753328</v>
      </c>
      <c r="L139" s="21">
        <f t="shared" si="25"/>
        <v>0.97</v>
      </c>
      <c r="M139" s="21">
        <f t="shared" si="26"/>
        <v>0.92198663306351036</v>
      </c>
      <c r="N139" s="21">
        <f t="shared" si="27"/>
        <v>0.99582061700260249</v>
      </c>
      <c r="O139" s="21">
        <f t="shared" si="28"/>
        <v>0.97741455216004536</v>
      </c>
      <c r="P139" s="21">
        <f t="shared" si="29"/>
        <v>0.94089999999999996</v>
      </c>
      <c r="Q139" s="21">
        <f t="shared" si="30"/>
        <v>0.99665509388124518</v>
      </c>
      <c r="R139" s="21">
        <f t="shared" si="31"/>
        <v>0.98189046021628945</v>
      </c>
      <c r="S139" s="21">
        <f t="shared" si="32"/>
        <v>0.95243374640980072</v>
      </c>
      <c r="T139" s="21">
        <f t="shared" si="33"/>
        <v>0.99721180024984324</v>
      </c>
      <c r="U139" s="21">
        <f t="shared" si="34"/>
        <v>0.98488578017961048</v>
      </c>
      <c r="V139" s="21">
        <f t="shared" si="35"/>
        <v>0.96020135027165543</v>
      </c>
    </row>
    <row r="140" spans="1:22" x14ac:dyDescent="0.25">
      <c r="A140" t="str">
        <f>Tabelle2!A156</f>
        <v xml:space="preserve"> Maeguana</v>
      </c>
      <c r="B140">
        <f>Tabelle2!$N156+(B$11*Tabelle2!$O156)</f>
        <v>2200</v>
      </c>
      <c r="C140">
        <f>Tabelle2!$N156+(C$11*Tabelle2!$O156)</f>
        <v>12000</v>
      </c>
      <c r="D140">
        <f>Tabelle2!$N156+(D$11*Tabelle2!$O156)</f>
        <v>32000</v>
      </c>
      <c r="E140" s="21">
        <f t="shared" si="18"/>
        <v>0.93518560958784391</v>
      </c>
      <c r="F140" s="21">
        <f t="shared" si="19"/>
        <v>0.69384236099543783</v>
      </c>
      <c r="G140" s="21">
        <f t="shared" si="20"/>
        <v>0.37730755079225703</v>
      </c>
      <c r="H140" s="21">
        <f t="shared" si="21"/>
        <v>0.96704995196103694</v>
      </c>
      <c r="I140" s="21">
        <f t="shared" si="22"/>
        <v>0.83297200492899992</v>
      </c>
      <c r="J140" s="21">
        <f t="shared" si="23"/>
        <v>0.61425365346268557</v>
      </c>
      <c r="K140" s="21">
        <f t="shared" si="24"/>
        <v>0.97791086600448651</v>
      </c>
      <c r="L140" s="21">
        <f t="shared" si="25"/>
        <v>0.88529280999999993</v>
      </c>
      <c r="M140" s="21">
        <f t="shared" si="26"/>
        <v>0.72260090115384579</v>
      </c>
      <c r="N140" s="21">
        <f t="shared" si="27"/>
        <v>0.9833869797597673</v>
      </c>
      <c r="O140" s="21">
        <f t="shared" si="28"/>
        <v>0.91267299999999996</v>
      </c>
      <c r="P140" s="21">
        <f t="shared" si="29"/>
        <v>0.78374335943769602</v>
      </c>
      <c r="Q140" s="21">
        <f t="shared" si="30"/>
        <v>0.98668735633527116</v>
      </c>
      <c r="R140" s="21">
        <f t="shared" si="31"/>
        <v>0.92950592451927649</v>
      </c>
      <c r="S140" s="21">
        <f t="shared" si="32"/>
        <v>0.82288491182931811</v>
      </c>
      <c r="T140" s="21">
        <f t="shared" si="33"/>
        <v>0.98889375870438512</v>
      </c>
      <c r="U140" s="21">
        <f t="shared" si="34"/>
        <v>0.94089999999999996</v>
      </c>
      <c r="V140" s="21">
        <f t="shared" si="35"/>
        <v>0.850059351547788</v>
      </c>
    </row>
    <row r="141" spans="1:22" x14ac:dyDescent="0.25">
      <c r="A141" t="str">
        <f>Tabelle2!A157</f>
        <v xml:space="preserve"> Maewing</v>
      </c>
      <c r="B141">
        <f>Tabelle2!$N157+(B$11*Tabelle2!$O157)</f>
        <v>2200</v>
      </c>
      <c r="C141">
        <f>Tabelle2!$N157+(C$11*Tabelle2!$O157)</f>
        <v>12000</v>
      </c>
      <c r="D141">
        <f>Tabelle2!$N157+(D$11*Tabelle2!$O157)</f>
        <v>32000</v>
      </c>
      <c r="E141" s="21">
        <f t="shared" ref="E141:E204" si="36">POWER($C$2,$B141/$B$2)</f>
        <v>0.93518560958784391</v>
      </c>
      <c r="F141" s="21">
        <f t="shared" ref="F141:F204" si="37">POWER($C$2,$C141/$B$2)</f>
        <v>0.69384236099543783</v>
      </c>
      <c r="G141" s="21">
        <f t="shared" ref="G141:G204" si="38">POWER($C$2,$D141/$B$2)</f>
        <v>0.37730755079225703</v>
      </c>
      <c r="H141" s="21">
        <f t="shared" ref="H141:H204" si="39">POWER($C$3,$B141/$B$3)</f>
        <v>0.96704995196103694</v>
      </c>
      <c r="I141" s="21">
        <f t="shared" ref="I141:I204" si="40">POWER($C$3,$C141/$B$3)</f>
        <v>0.83297200492899992</v>
      </c>
      <c r="J141" s="21">
        <f t="shared" ref="J141:J204" si="41">POWER($C$3,$D141/$B$3)</f>
        <v>0.61425365346268557</v>
      </c>
      <c r="K141" s="21">
        <f t="shared" ref="K141:K204" si="42">POWER($C$4,$B141/$B$4)</f>
        <v>0.97791086600448651</v>
      </c>
      <c r="L141" s="21">
        <f t="shared" ref="L141:L204" si="43">POWER($C$4,$C141/$B$4)</f>
        <v>0.88529280999999993</v>
      </c>
      <c r="M141" s="21">
        <f t="shared" ref="M141:M204" si="44">POWER($C$4,$D141/$B$4)</f>
        <v>0.72260090115384579</v>
      </c>
      <c r="N141" s="21">
        <f t="shared" ref="N141:N204" si="45">POWER($C$5,$B141/$B$5)</f>
        <v>0.9833869797597673</v>
      </c>
      <c r="O141" s="21">
        <f t="shared" ref="O141:O204" si="46">POWER($C$5,$C141/$B$5)</f>
        <v>0.91267299999999996</v>
      </c>
      <c r="P141" s="21">
        <f t="shared" ref="P141:P204" si="47">POWER($C$5,$D141/$B$5)</f>
        <v>0.78374335943769602</v>
      </c>
      <c r="Q141" s="21">
        <f t="shared" ref="Q141:Q204" si="48">POWER($C$6,$B141/$B$6)</f>
        <v>0.98668735633527116</v>
      </c>
      <c r="R141" s="21">
        <f t="shared" ref="R141:R204" si="49">POWER($C$6,$C141/$B$6)</f>
        <v>0.92950592451927649</v>
      </c>
      <c r="S141" s="21">
        <f t="shared" ref="S141:S204" si="50">POWER($C$6,$D141/$B$6)</f>
        <v>0.82288491182931811</v>
      </c>
      <c r="T141" s="21">
        <f t="shared" ref="T141:T204" si="51">POWER($C$7,$B141/$B$7)</f>
        <v>0.98889375870438512</v>
      </c>
      <c r="U141" s="21">
        <f t="shared" ref="U141:U204" si="52">POWER($C$7,$C141/$B$7)</f>
        <v>0.94089999999999996</v>
      </c>
      <c r="V141" s="21">
        <f t="shared" ref="V141:V204" si="53">POWER($C$7,$D141/$B$7)</f>
        <v>0.850059351547788</v>
      </c>
    </row>
    <row r="142" spans="1:22" x14ac:dyDescent="0.25">
      <c r="A142" t="str">
        <f>Tabelle2!A158</f>
        <v xml:space="preserve"> Magmasaur</v>
      </c>
      <c r="B142">
        <f>Tabelle2!$N158+(B$11*Tabelle2!$O158)</f>
        <v>2200</v>
      </c>
      <c r="C142">
        <f>Tabelle2!$N158+(C$11*Tabelle2!$O158)</f>
        <v>12000</v>
      </c>
      <c r="D142">
        <f>Tabelle2!$N158+(D$11*Tabelle2!$O158)</f>
        <v>32000</v>
      </c>
      <c r="E142" s="21">
        <f t="shared" si="36"/>
        <v>0.93518560958784391</v>
      </c>
      <c r="F142" s="21">
        <f t="shared" si="37"/>
        <v>0.69384236099543783</v>
      </c>
      <c r="G142" s="21">
        <f t="shared" si="38"/>
        <v>0.37730755079225703</v>
      </c>
      <c r="H142" s="21">
        <f t="shared" si="39"/>
        <v>0.96704995196103694</v>
      </c>
      <c r="I142" s="21">
        <f t="shared" si="40"/>
        <v>0.83297200492899992</v>
      </c>
      <c r="J142" s="21">
        <f t="shared" si="41"/>
        <v>0.61425365346268557</v>
      </c>
      <c r="K142" s="21">
        <f t="shared" si="42"/>
        <v>0.97791086600448651</v>
      </c>
      <c r="L142" s="21">
        <f t="shared" si="43"/>
        <v>0.88529280999999993</v>
      </c>
      <c r="M142" s="21">
        <f t="shared" si="44"/>
        <v>0.72260090115384579</v>
      </c>
      <c r="N142" s="21">
        <f t="shared" si="45"/>
        <v>0.9833869797597673</v>
      </c>
      <c r="O142" s="21">
        <f t="shared" si="46"/>
        <v>0.91267299999999996</v>
      </c>
      <c r="P142" s="21">
        <f t="shared" si="47"/>
        <v>0.78374335943769602</v>
      </c>
      <c r="Q142" s="21">
        <f t="shared" si="48"/>
        <v>0.98668735633527116</v>
      </c>
      <c r="R142" s="21">
        <f t="shared" si="49"/>
        <v>0.92950592451927649</v>
      </c>
      <c r="S142" s="21">
        <f t="shared" si="50"/>
        <v>0.82288491182931811</v>
      </c>
      <c r="T142" s="21">
        <f t="shared" si="51"/>
        <v>0.98889375870438512</v>
      </c>
      <c r="U142" s="21">
        <f t="shared" si="52"/>
        <v>0.94089999999999996</v>
      </c>
      <c r="V142" s="21">
        <f t="shared" si="53"/>
        <v>0.850059351547788</v>
      </c>
    </row>
    <row r="143" spans="1:22" x14ac:dyDescent="0.25">
      <c r="A143" t="str">
        <f>Tabelle2!A159</f>
        <v xml:space="preserve"> Mammoth</v>
      </c>
      <c r="B143">
        <f>Tabelle2!$N159+(B$11*Tabelle2!$O159)</f>
        <v>5500</v>
      </c>
      <c r="C143">
        <f>Tabelle2!$N159+(C$11*Tabelle2!$O159)</f>
        <v>30000</v>
      </c>
      <c r="D143">
        <f>Tabelle2!$N159+(D$11*Tabelle2!$O159)</f>
        <v>80000</v>
      </c>
      <c r="E143" s="21">
        <f t="shared" si="36"/>
        <v>0.84575493086832199</v>
      </c>
      <c r="F143" s="21">
        <f t="shared" si="37"/>
        <v>0.4010070685431576</v>
      </c>
      <c r="G143" s="21">
        <f t="shared" si="38"/>
        <v>8.7445756918827236E-2</v>
      </c>
      <c r="H143" s="21">
        <f t="shared" si="39"/>
        <v>0.91964935212738663</v>
      </c>
      <c r="I143" s="21">
        <f t="shared" si="40"/>
        <v>0.63325118913678924</v>
      </c>
      <c r="J143" s="21">
        <f t="shared" si="41"/>
        <v>0.29571228739913263</v>
      </c>
      <c r="K143" s="21">
        <f t="shared" si="42"/>
        <v>0.94568865599181473</v>
      </c>
      <c r="L143" s="21">
        <f t="shared" si="43"/>
        <v>0.7374241268949282</v>
      </c>
      <c r="M143" s="21">
        <f t="shared" si="44"/>
        <v>0.44386024352917858</v>
      </c>
      <c r="N143" s="21">
        <f t="shared" si="45"/>
        <v>0.95898349940308492</v>
      </c>
      <c r="O143" s="21">
        <f t="shared" si="46"/>
        <v>0.79577081445400422</v>
      </c>
      <c r="P143" s="21">
        <f t="shared" si="47"/>
        <v>0.54379434292674711</v>
      </c>
      <c r="Q143" s="21">
        <f t="shared" si="48"/>
        <v>0.96704995196103694</v>
      </c>
      <c r="R143" s="21">
        <f t="shared" si="49"/>
        <v>0.83297200492899992</v>
      </c>
      <c r="S143" s="21">
        <f t="shared" si="50"/>
        <v>0.61425365346268557</v>
      </c>
      <c r="T143" s="21">
        <f t="shared" si="51"/>
        <v>0.97246524667558931</v>
      </c>
      <c r="U143" s="21">
        <f t="shared" si="52"/>
        <v>0.8587340256999999</v>
      </c>
      <c r="V143" s="21">
        <f t="shared" si="53"/>
        <v>0.66622837190349271</v>
      </c>
    </row>
    <row r="144" spans="1:22" x14ac:dyDescent="0.25">
      <c r="A144" t="str">
        <f>Tabelle2!A160</f>
        <v xml:space="preserve"> Managarmr</v>
      </c>
      <c r="B144">
        <f>Tabelle2!$N160+(B$11*Tabelle2!$O160)</f>
        <v>2200</v>
      </c>
      <c r="C144">
        <f>Tabelle2!$N160+(C$11*Tabelle2!$O160)</f>
        <v>12000</v>
      </c>
      <c r="D144">
        <f>Tabelle2!$N160+(D$11*Tabelle2!$O160)</f>
        <v>32000</v>
      </c>
      <c r="E144" s="21">
        <f t="shared" si="36"/>
        <v>0.93518560958784391</v>
      </c>
      <c r="F144" s="21">
        <f t="shared" si="37"/>
        <v>0.69384236099543783</v>
      </c>
      <c r="G144" s="21">
        <f t="shared" si="38"/>
        <v>0.37730755079225703</v>
      </c>
      <c r="H144" s="21">
        <f t="shared" si="39"/>
        <v>0.96704995196103694</v>
      </c>
      <c r="I144" s="21">
        <f t="shared" si="40"/>
        <v>0.83297200492899992</v>
      </c>
      <c r="J144" s="21">
        <f t="shared" si="41"/>
        <v>0.61425365346268557</v>
      </c>
      <c r="K144" s="21">
        <f t="shared" si="42"/>
        <v>0.97791086600448651</v>
      </c>
      <c r="L144" s="21">
        <f t="shared" si="43"/>
        <v>0.88529280999999993</v>
      </c>
      <c r="M144" s="21">
        <f t="shared" si="44"/>
        <v>0.72260090115384579</v>
      </c>
      <c r="N144" s="21">
        <f t="shared" si="45"/>
        <v>0.9833869797597673</v>
      </c>
      <c r="O144" s="21">
        <f t="shared" si="46"/>
        <v>0.91267299999999996</v>
      </c>
      <c r="P144" s="21">
        <f t="shared" si="47"/>
        <v>0.78374335943769602</v>
      </c>
      <c r="Q144" s="21">
        <f t="shared" si="48"/>
        <v>0.98668735633527116</v>
      </c>
      <c r="R144" s="21">
        <f t="shared" si="49"/>
        <v>0.92950592451927649</v>
      </c>
      <c r="S144" s="21">
        <f t="shared" si="50"/>
        <v>0.82288491182931811</v>
      </c>
      <c r="T144" s="21">
        <f t="shared" si="51"/>
        <v>0.98889375870438512</v>
      </c>
      <c r="U144" s="21">
        <f t="shared" si="52"/>
        <v>0.94089999999999996</v>
      </c>
      <c r="V144" s="21">
        <f t="shared" si="53"/>
        <v>0.850059351547788</v>
      </c>
    </row>
    <row r="145" spans="1:22" x14ac:dyDescent="0.25">
      <c r="A145" t="str">
        <f>Tabelle2!A161</f>
        <v xml:space="preserve"> Manta</v>
      </c>
      <c r="B145">
        <f>Tabelle2!$N161+(B$11*Tabelle2!$O161)</f>
        <v>1100</v>
      </c>
      <c r="C145">
        <f>Tabelle2!$N161+(C$11*Tabelle2!$O161)</f>
        <v>6000</v>
      </c>
      <c r="D145">
        <f>Tabelle2!$N161+(D$11*Tabelle2!$O161)</f>
        <v>16000</v>
      </c>
      <c r="E145" s="21">
        <f t="shared" si="36"/>
        <v>0.96704995196103694</v>
      </c>
      <c r="F145" s="21">
        <f t="shared" si="37"/>
        <v>0.83297200492899992</v>
      </c>
      <c r="G145" s="21">
        <f t="shared" si="38"/>
        <v>0.61425365346268557</v>
      </c>
      <c r="H145" s="21">
        <f t="shared" si="39"/>
        <v>0.9833869797597673</v>
      </c>
      <c r="I145" s="21">
        <f t="shared" si="40"/>
        <v>0.91267299999999996</v>
      </c>
      <c r="J145" s="21">
        <f t="shared" si="41"/>
        <v>0.78374335943769602</v>
      </c>
      <c r="K145" s="21">
        <f t="shared" si="42"/>
        <v>0.98889375870438512</v>
      </c>
      <c r="L145" s="21">
        <f t="shared" si="43"/>
        <v>0.94089999999999996</v>
      </c>
      <c r="M145" s="21">
        <f t="shared" si="44"/>
        <v>0.850059351547788</v>
      </c>
      <c r="N145" s="21">
        <f t="shared" si="45"/>
        <v>0.99165870124744393</v>
      </c>
      <c r="O145" s="21">
        <f t="shared" si="46"/>
        <v>0.95533920677422213</v>
      </c>
      <c r="P145" s="21">
        <f t="shared" si="47"/>
        <v>0.88529280999999993</v>
      </c>
      <c r="Q145" s="21">
        <f t="shared" si="48"/>
        <v>0.99332137615943372</v>
      </c>
      <c r="R145" s="21">
        <f t="shared" si="49"/>
        <v>0.9641088758637566</v>
      </c>
      <c r="S145" s="21">
        <f t="shared" si="50"/>
        <v>0.90713004130020858</v>
      </c>
      <c r="T145" s="21">
        <f t="shared" si="51"/>
        <v>0.99443137455753328</v>
      </c>
      <c r="U145" s="21">
        <f t="shared" si="52"/>
        <v>0.97</v>
      </c>
      <c r="V145" s="21">
        <f t="shared" si="53"/>
        <v>0.92198663306351036</v>
      </c>
    </row>
    <row r="146" spans="1:22" x14ac:dyDescent="0.25">
      <c r="A146" t="str">
        <f>Tabelle2!A162</f>
        <v xml:space="preserve"> Manticore </v>
      </c>
      <c r="B146">
        <f>Tabelle2!$N162+(B$11*Tabelle2!$O162)</f>
        <v>2600</v>
      </c>
      <c r="C146">
        <f>Tabelle2!$N162+(C$11*Tabelle2!$O162)</f>
        <v>2600</v>
      </c>
      <c r="D146">
        <f>Tabelle2!$N162+(D$11*Tabelle2!$O162)</f>
        <v>2600</v>
      </c>
      <c r="E146" s="21">
        <f t="shared" si="36"/>
        <v>0.92386073401750668</v>
      </c>
      <c r="F146" s="21">
        <f t="shared" si="37"/>
        <v>0.92386073401750668</v>
      </c>
      <c r="G146" s="21">
        <f t="shared" si="38"/>
        <v>0.92386073401750668</v>
      </c>
      <c r="H146" s="21">
        <f t="shared" si="39"/>
        <v>0.96117674442191259</v>
      </c>
      <c r="I146" s="21">
        <f t="shared" si="40"/>
        <v>0.96117674442191259</v>
      </c>
      <c r="J146" s="21">
        <f t="shared" si="41"/>
        <v>0.96117674442191259</v>
      </c>
      <c r="K146" s="21">
        <f t="shared" si="42"/>
        <v>0.97394740105631572</v>
      </c>
      <c r="L146" s="21">
        <f t="shared" si="43"/>
        <v>0.97394740105631572</v>
      </c>
      <c r="M146" s="21">
        <f t="shared" si="44"/>
        <v>0.97394740105631572</v>
      </c>
      <c r="N146" s="21">
        <f t="shared" si="45"/>
        <v>0.98039621807813626</v>
      </c>
      <c r="O146" s="21">
        <f t="shared" si="46"/>
        <v>0.98039621807813626</v>
      </c>
      <c r="P146" s="21">
        <f t="shared" si="47"/>
        <v>0.98039621807813626</v>
      </c>
      <c r="Q146" s="21">
        <f t="shared" si="48"/>
        <v>0.98428598608414275</v>
      </c>
      <c r="R146" s="21">
        <f t="shared" si="49"/>
        <v>0.98428598608414275</v>
      </c>
      <c r="S146" s="21">
        <f t="shared" si="50"/>
        <v>0.98428598608414275</v>
      </c>
      <c r="T146" s="21">
        <f t="shared" si="51"/>
        <v>0.98688773477853886</v>
      </c>
      <c r="U146" s="21">
        <f t="shared" si="52"/>
        <v>0.98688773477853886</v>
      </c>
      <c r="V146" s="21">
        <f t="shared" si="53"/>
        <v>0.98688773477853886</v>
      </c>
    </row>
    <row r="147" spans="1:22" x14ac:dyDescent="0.25">
      <c r="A147" t="str">
        <f>Tabelle2!A163</f>
        <v xml:space="preserve"> Manticore </v>
      </c>
      <c r="B147">
        <f>Tabelle2!$N163+(B$11*Tabelle2!$O163)</f>
        <v>2600</v>
      </c>
      <c r="C147">
        <f>Tabelle2!$N163+(C$11*Tabelle2!$O163)</f>
        <v>2600</v>
      </c>
      <c r="D147">
        <f>Tabelle2!$N163+(D$11*Tabelle2!$O163)</f>
        <v>2600</v>
      </c>
      <c r="E147" s="21">
        <f t="shared" si="36"/>
        <v>0.92386073401750668</v>
      </c>
      <c r="F147" s="21">
        <f t="shared" si="37"/>
        <v>0.92386073401750668</v>
      </c>
      <c r="G147" s="21">
        <f t="shared" si="38"/>
        <v>0.92386073401750668</v>
      </c>
      <c r="H147" s="21">
        <f t="shared" si="39"/>
        <v>0.96117674442191259</v>
      </c>
      <c r="I147" s="21">
        <f t="shared" si="40"/>
        <v>0.96117674442191259</v>
      </c>
      <c r="J147" s="21">
        <f t="shared" si="41"/>
        <v>0.96117674442191259</v>
      </c>
      <c r="K147" s="21">
        <f t="shared" si="42"/>
        <v>0.97394740105631572</v>
      </c>
      <c r="L147" s="21">
        <f t="shared" si="43"/>
        <v>0.97394740105631572</v>
      </c>
      <c r="M147" s="21">
        <f t="shared" si="44"/>
        <v>0.97394740105631572</v>
      </c>
      <c r="N147" s="21">
        <f t="shared" si="45"/>
        <v>0.98039621807813626</v>
      </c>
      <c r="O147" s="21">
        <f t="shared" si="46"/>
        <v>0.98039621807813626</v>
      </c>
      <c r="P147" s="21">
        <f t="shared" si="47"/>
        <v>0.98039621807813626</v>
      </c>
      <c r="Q147" s="21">
        <f t="shared" si="48"/>
        <v>0.98428598608414275</v>
      </c>
      <c r="R147" s="21">
        <f t="shared" si="49"/>
        <v>0.98428598608414275</v>
      </c>
      <c r="S147" s="21">
        <f t="shared" si="50"/>
        <v>0.98428598608414275</v>
      </c>
      <c r="T147" s="21">
        <f t="shared" si="51"/>
        <v>0.98688773477853886</v>
      </c>
      <c r="U147" s="21">
        <f t="shared" si="52"/>
        <v>0.98688773477853886</v>
      </c>
      <c r="V147" s="21">
        <f t="shared" si="53"/>
        <v>0.98688773477853886</v>
      </c>
    </row>
    <row r="148" spans="1:22" x14ac:dyDescent="0.25">
      <c r="A148" t="str">
        <f>Tabelle2!A164</f>
        <v xml:space="preserve"> Manticore </v>
      </c>
      <c r="B148">
        <f>Tabelle2!$N164+(B$11*Tabelle2!$O164)</f>
        <v>2600</v>
      </c>
      <c r="C148">
        <f>Tabelle2!$N164+(C$11*Tabelle2!$O164)</f>
        <v>2600</v>
      </c>
      <c r="D148">
        <f>Tabelle2!$N164+(D$11*Tabelle2!$O164)</f>
        <v>2600</v>
      </c>
      <c r="E148" s="21">
        <f t="shared" si="36"/>
        <v>0.92386073401750668</v>
      </c>
      <c r="F148" s="21">
        <f t="shared" si="37"/>
        <v>0.92386073401750668</v>
      </c>
      <c r="G148" s="21">
        <f t="shared" si="38"/>
        <v>0.92386073401750668</v>
      </c>
      <c r="H148" s="21">
        <f t="shared" si="39"/>
        <v>0.96117674442191259</v>
      </c>
      <c r="I148" s="21">
        <f t="shared" si="40"/>
        <v>0.96117674442191259</v>
      </c>
      <c r="J148" s="21">
        <f t="shared" si="41"/>
        <v>0.96117674442191259</v>
      </c>
      <c r="K148" s="21">
        <f t="shared" si="42"/>
        <v>0.97394740105631572</v>
      </c>
      <c r="L148" s="21">
        <f t="shared" si="43"/>
        <v>0.97394740105631572</v>
      </c>
      <c r="M148" s="21">
        <f t="shared" si="44"/>
        <v>0.97394740105631572</v>
      </c>
      <c r="N148" s="21">
        <f t="shared" si="45"/>
        <v>0.98039621807813626</v>
      </c>
      <c r="O148" s="21">
        <f t="shared" si="46"/>
        <v>0.98039621807813626</v>
      </c>
      <c r="P148" s="21">
        <f t="shared" si="47"/>
        <v>0.98039621807813626</v>
      </c>
      <c r="Q148" s="21">
        <f t="shared" si="48"/>
        <v>0.98428598608414275</v>
      </c>
      <c r="R148" s="21">
        <f t="shared" si="49"/>
        <v>0.98428598608414275</v>
      </c>
      <c r="S148" s="21">
        <f t="shared" si="50"/>
        <v>0.98428598608414275</v>
      </c>
      <c r="T148" s="21">
        <f t="shared" si="51"/>
        <v>0.98688773477853886</v>
      </c>
      <c r="U148" s="21">
        <f t="shared" si="52"/>
        <v>0.98688773477853886</v>
      </c>
      <c r="V148" s="21">
        <f t="shared" si="53"/>
        <v>0.98688773477853886</v>
      </c>
    </row>
    <row r="149" spans="1:22" x14ac:dyDescent="0.25">
      <c r="A149" t="str">
        <f>Tabelle2!A165</f>
        <v xml:space="preserve"> Mantis</v>
      </c>
      <c r="B149">
        <f>Tabelle2!$N165+(B$11*Tabelle2!$O165)</f>
        <v>990</v>
      </c>
      <c r="C149">
        <f>Tabelle2!$N165+(C$11*Tabelle2!$O165)</f>
        <v>5400</v>
      </c>
      <c r="D149">
        <f>Tabelle2!$N165+(D$11*Tabelle2!$O165)</f>
        <v>14400</v>
      </c>
      <c r="E149" s="21">
        <f t="shared" si="36"/>
        <v>0.97029549931369152</v>
      </c>
      <c r="F149" s="21">
        <f t="shared" si="37"/>
        <v>0.84833496064878156</v>
      </c>
      <c r="G149" s="21">
        <f t="shared" si="38"/>
        <v>0.64493058522770197</v>
      </c>
      <c r="H149" s="21">
        <f t="shared" si="39"/>
        <v>0.98503578580358775</v>
      </c>
      <c r="I149" s="21">
        <f t="shared" si="40"/>
        <v>0.92105100871166823</v>
      </c>
      <c r="J149" s="21">
        <f t="shared" si="41"/>
        <v>0.80307570329807754</v>
      </c>
      <c r="K149" s="21">
        <f t="shared" si="42"/>
        <v>0.98999880941042806</v>
      </c>
      <c r="L149" s="21">
        <f t="shared" si="43"/>
        <v>0.94664930782047341</v>
      </c>
      <c r="M149" s="21">
        <f t="shared" si="44"/>
        <v>0.86398126371643491</v>
      </c>
      <c r="N149" s="21">
        <f t="shared" si="45"/>
        <v>0.99248969052760827</v>
      </c>
      <c r="O149" s="21">
        <f t="shared" si="46"/>
        <v>0.9597140244425254</v>
      </c>
      <c r="P149" s="21">
        <f t="shared" si="47"/>
        <v>0.89614491199698143</v>
      </c>
      <c r="Q149" s="21">
        <f t="shared" si="48"/>
        <v>0.99398722643020432</v>
      </c>
      <c r="R149" s="21">
        <f t="shared" si="49"/>
        <v>0.96763924293887171</v>
      </c>
      <c r="S149" s="21">
        <f t="shared" si="50"/>
        <v>0.91601501954800979</v>
      </c>
      <c r="T149" s="21">
        <f t="shared" si="51"/>
        <v>0.99498683881266892</v>
      </c>
      <c r="U149" s="21">
        <f t="shared" si="52"/>
        <v>0.9729590473501305</v>
      </c>
      <c r="V149" s="21">
        <f t="shared" si="53"/>
        <v>0.92950592451927649</v>
      </c>
    </row>
    <row r="150" spans="1:22" x14ac:dyDescent="0.25">
      <c r="A150" t="str">
        <f>Tabelle2!A166</f>
        <v xml:space="preserve"> Megachelon</v>
      </c>
      <c r="B150">
        <f>Tabelle2!$N166+(B$11*Tabelle2!$O166)</f>
        <v>9680</v>
      </c>
      <c r="C150">
        <f>Tabelle2!$N166+(C$11*Tabelle2!$O166)</f>
        <v>52800</v>
      </c>
      <c r="D150">
        <f>Tabelle2!$N166+(D$11*Tabelle2!$O166)</f>
        <v>140800</v>
      </c>
      <c r="E150" s="21">
        <f t="shared" si="36"/>
        <v>0.74464690315473991</v>
      </c>
      <c r="F150" s="21">
        <f t="shared" si="37"/>
        <v>0.20023849353326781</v>
      </c>
      <c r="G150" s="21">
        <f t="shared" si="38"/>
        <v>1.3723351420993166E-2</v>
      </c>
      <c r="H150" s="21">
        <f t="shared" si="39"/>
        <v>0.86292925732920878</v>
      </c>
      <c r="I150" s="21">
        <f t="shared" si="40"/>
        <v>0.44748015993255813</v>
      </c>
      <c r="J150" s="21">
        <f t="shared" si="41"/>
        <v>0.11714670896356058</v>
      </c>
      <c r="K150" s="21">
        <f t="shared" si="42"/>
        <v>0.90639352813163787</v>
      </c>
      <c r="L150" s="21">
        <f t="shared" si="43"/>
        <v>0.58503590841337294</v>
      </c>
      <c r="M150" s="21">
        <f t="shared" si="44"/>
        <v>0.23941612363242087</v>
      </c>
      <c r="N150" s="21">
        <f t="shared" si="45"/>
        <v>0.92893985668029599</v>
      </c>
      <c r="O150" s="21">
        <f t="shared" si="46"/>
        <v>0.66893957868596632</v>
      </c>
      <c r="P150" s="21">
        <f t="shared" si="47"/>
        <v>0.34226701413306043</v>
      </c>
      <c r="Q150" s="21">
        <f t="shared" si="48"/>
        <v>0.94273596930065839</v>
      </c>
      <c r="R150" s="21">
        <f t="shared" si="49"/>
        <v>0.72495243654974384</v>
      </c>
      <c r="S150" s="21">
        <f t="shared" si="50"/>
        <v>0.4241232072733675</v>
      </c>
      <c r="T150" s="21">
        <f t="shared" si="51"/>
        <v>0.95204701991636831</v>
      </c>
      <c r="U150" s="21">
        <f t="shared" si="52"/>
        <v>0.76487640074287355</v>
      </c>
      <c r="V150" s="21">
        <f t="shared" si="53"/>
        <v>0.48930166935380554</v>
      </c>
    </row>
    <row r="151" spans="1:22" x14ac:dyDescent="0.25">
      <c r="A151" t="str">
        <f>Tabelle2!A167</f>
        <v xml:space="preserve"> Megalania</v>
      </c>
      <c r="B151">
        <f>Tabelle2!$N167+(B$11*Tabelle2!$O167)</f>
        <v>1650</v>
      </c>
      <c r="C151">
        <f>Tabelle2!$N167+(C$11*Tabelle2!$O167)</f>
        <v>9000</v>
      </c>
      <c r="D151">
        <f>Tabelle2!$N167+(D$11*Tabelle2!$O167)</f>
        <v>24000</v>
      </c>
      <c r="E151" s="21">
        <f t="shared" si="36"/>
        <v>0.9509843315357922</v>
      </c>
      <c r="F151" s="21">
        <f t="shared" si="37"/>
        <v>0.76023105865456508</v>
      </c>
      <c r="G151" s="21">
        <f t="shared" si="38"/>
        <v>0.48141722191172354</v>
      </c>
      <c r="H151" s="21">
        <f t="shared" si="39"/>
        <v>0.9751842551722173</v>
      </c>
      <c r="I151" s="21">
        <f t="shared" si="40"/>
        <v>0.87191229986424956</v>
      </c>
      <c r="J151" s="21">
        <f t="shared" si="41"/>
        <v>0.69384236099543783</v>
      </c>
      <c r="K151" s="21">
        <f t="shared" si="42"/>
        <v>0.9833869797597673</v>
      </c>
      <c r="L151" s="21">
        <f t="shared" si="43"/>
        <v>0.91267299999999996</v>
      </c>
      <c r="M151" s="21">
        <f t="shared" si="44"/>
        <v>0.78374335943769602</v>
      </c>
      <c r="N151" s="21">
        <f t="shared" si="45"/>
        <v>0.9875141797322291</v>
      </c>
      <c r="O151" s="21">
        <f t="shared" si="46"/>
        <v>0.93376244295015931</v>
      </c>
      <c r="P151" s="21">
        <f t="shared" si="47"/>
        <v>0.83297200492899992</v>
      </c>
      <c r="Q151" s="21">
        <f t="shared" si="48"/>
        <v>0.98999880941042806</v>
      </c>
      <c r="R151" s="21">
        <f t="shared" si="49"/>
        <v>0.94664930782047341</v>
      </c>
      <c r="S151" s="21">
        <f t="shared" si="50"/>
        <v>0.86398126371643491</v>
      </c>
      <c r="T151" s="21">
        <f t="shared" si="51"/>
        <v>0.99165870124744393</v>
      </c>
      <c r="U151" s="21">
        <f t="shared" si="52"/>
        <v>0.95533920677422213</v>
      </c>
      <c r="V151" s="21">
        <f t="shared" si="53"/>
        <v>0.88529280999999993</v>
      </c>
    </row>
    <row r="152" spans="1:22" x14ac:dyDescent="0.25">
      <c r="A152" t="str">
        <f>Tabelle2!A168</f>
        <v xml:space="preserve"> Megaloceros</v>
      </c>
      <c r="B152">
        <f>Tabelle2!$N168+(B$11*Tabelle2!$O168)</f>
        <v>1320</v>
      </c>
      <c r="C152">
        <f>Tabelle2!$N168+(C$11*Tabelle2!$O168)</f>
        <v>7200</v>
      </c>
      <c r="D152">
        <f>Tabelle2!$N168+(D$11*Tabelle2!$O168)</f>
        <v>19200</v>
      </c>
      <c r="E152" s="21">
        <f t="shared" si="36"/>
        <v>0.96059138909685149</v>
      </c>
      <c r="F152" s="21">
        <f t="shared" si="37"/>
        <v>0.80307570329807754</v>
      </c>
      <c r="G152" s="21">
        <f t="shared" si="38"/>
        <v>0.55720794203440982</v>
      </c>
      <c r="H152" s="21">
        <f t="shared" si="39"/>
        <v>0.98009764263406507</v>
      </c>
      <c r="I152" s="21">
        <f t="shared" si="40"/>
        <v>0.89614491199698143</v>
      </c>
      <c r="J152" s="21">
        <f t="shared" si="41"/>
        <v>0.74646362405304778</v>
      </c>
      <c r="K152" s="21">
        <f t="shared" si="42"/>
        <v>0.98668735633527116</v>
      </c>
      <c r="L152" s="21">
        <f t="shared" si="43"/>
        <v>0.92950592451927649</v>
      </c>
      <c r="M152" s="21">
        <f t="shared" si="44"/>
        <v>0.82288491182931811</v>
      </c>
      <c r="N152" s="21">
        <f t="shared" si="45"/>
        <v>0.98999880941042806</v>
      </c>
      <c r="O152" s="21">
        <f t="shared" si="46"/>
        <v>0.94664930782047341</v>
      </c>
      <c r="P152" s="21">
        <f t="shared" si="47"/>
        <v>0.86398126371643491</v>
      </c>
      <c r="Q152" s="21">
        <f t="shared" si="48"/>
        <v>0.9919910134346358</v>
      </c>
      <c r="R152" s="21">
        <f t="shared" si="49"/>
        <v>0.95708673564521296</v>
      </c>
      <c r="S152" s="21">
        <f t="shared" si="50"/>
        <v>0.88961779106104</v>
      </c>
      <c r="T152" s="21">
        <f t="shared" si="51"/>
        <v>0.99332137615943372</v>
      </c>
      <c r="U152" s="21">
        <f t="shared" si="52"/>
        <v>0.9641088758637566</v>
      </c>
      <c r="V152" s="21">
        <f t="shared" si="53"/>
        <v>0.90713004130020858</v>
      </c>
    </row>
    <row r="153" spans="1:22" x14ac:dyDescent="0.25">
      <c r="A153" t="str">
        <f>Tabelle2!A169</f>
        <v xml:space="preserve"> Megalodon</v>
      </c>
      <c r="B153">
        <f>Tabelle2!$N169+(B$11*Tabelle2!$O169)</f>
        <v>2200</v>
      </c>
      <c r="C153">
        <f>Tabelle2!$N169+(C$11*Tabelle2!$O169)</f>
        <v>12000</v>
      </c>
      <c r="D153">
        <f>Tabelle2!$N169+(D$11*Tabelle2!$O169)</f>
        <v>32000</v>
      </c>
      <c r="E153" s="21">
        <f t="shared" si="36"/>
        <v>0.93518560958784391</v>
      </c>
      <c r="F153" s="21">
        <f t="shared" si="37"/>
        <v>0.69384236099543783</v>
      </c>
      <c r="G153" s="21">
        <f t="shared" si="38"/>
        <v>0.37730755079225703</v>
      </c>
      <c r="H153" s="21">
        <f t="shared" si="39"/>
        <v>0.96704995196103694</v>
      </c>
      <c r="I153" s="21">
        <f t="shared" si="40"/>
        <v>0.83297200492899992</v>
      </c>
      <c r="J153" s="21">
        <f t="shared" si="41"/>
        <v>0.61425365346268557</v>
      </c>
      <c r="K153" s="21">
        <f t="shared" si="42"/>
        <v>0.97791086600448651</v>
      </c>
      <c r="L153" s="21">
        <f t="shared" si="43"/>
        <v>0.88529280999999993</v>
      </c>
      <c r="M153" s="21">
        <f t="shared" si="44"/>
        <v>0.72260090115384579</v>
      </c>
      <c r="N153" s="21">
        <f t="shared" si="45"/>
        <v>0.9833869797597673</v>
      </c>
      <c r="O153" s="21">
        <f t="shared" si="46"/>
        <v>0.91267299999999996</v>
      </c>
      <c r="P153" s="21">
        <f t="shared" si="47"/>
        <v>0.78374335943769602</v>
      </c>
      <c r="Q153" s="21">
        <f t="shared" si="48"/>
        <v>0.98668735633527116</v>
      </c>
      <c r="R153" s="21">
        <f t="shared" si="49"/>
        <v>0.92950592451927649</v>
      </c>
      <c r="S153" s="21">
        <f t="shared" si="50"/>
        <v>0.82288491182931811</v>
      </c>
      <c r="T153" s="21">
        <f t="shared" si="51"/>
        <v>0.98889375870438512</v>
      </c>
      <c r="U153" s="21">
        <f t="shared" si="52"/>
        <v>0.94089999999999996</v>
      </c>
      <c r="V153" s="21">
        <f t="shared" si="53"/>
        <v>0.850059351547788</v>
      </c>
    </row>
    <row r="154" spans="1:22" x14ac:dyDescent="0.25">
      <c r="A154" t="str">
        <f>Tabelle2!A170</f>
        <v xml:space="preserve"> Megalosaurus</v>
      </c>
      <c r="B154">
        <f>Tabelle2!$N170+(B$11*Tabelle2!$O170)</f>
        <v>2200</v>
      </c>
      <c r="C154">
        <f>Tabelle2!$N170+(C$11*Tabelle2!$O170)</f>
        <v>12000</v>
      </c>
      <c r="D154">
        <f>Tabelle2!$N170+(D$11*Tabelle2!$O170)</f>
        <v>32000</v>
      </c>
      <c r="E154" s="21">
        <f t="shared" si="36"/>
        <v>0.93518560958784391</v>
      </c>
      <c r="F154" s="21">
        <f t="shared" si="37"/>
        <v>0.69384236099543783</v>
      </c>
      <c r="G154" s="21">
        <f t="shared" si="38"/>
        <v>0.37730755079225703</v>
      </c>
      <c r="H154" s="21">
        <f t="shared" si="39"/>
        <v>0.96704995196103694</v>
      </c>
      <c r="I154" s="21">
        <f t="shared" si="40"/>
        <v>0.83297200492899992</v>
      </c>
      <c r="J154" s="21">
        <f t="shared" si="41"/>
        <v>0.61425365346268557</v>
      </c>
      <c r="K154" s="21">
        <f t="shared" si="42"/>
        <v>0.97791086600448651</v>
      </c>
      <c r="L154" s="21">
        <f t="shared" si="43"/>
        <v>0.88529280999999993</v>
      </c>
      <c r="M154" s="21">
        <f t="shared" si="44"/>
        <v>0.72260090115384579</v>
      </c>
      <c r="N154" s="21">
        <f t="shared" si="45"/>
        <v>0.9833869797597673</v>
      </c>
      <c r="O154" s="21">
        <f t="shared" si="46"/>
        <v>0.91267299999999996</v>
      </c>
      <c r="P154" s="21">
        <f t="shared" si="47"/>
        <v>0.78374335943769602</v>
      </c>
      <c r="Q154" s="21">
        <f t="shared" si="48"/>
        <v>0.98668735633527116</v>
      </c>
      <c r="R154" s="21">
        <f t="shared" si="49"/>
        <v>0.92950592451927649</v>
      </c>
      <c r="S154" s="21">
        <f t="shared" si="50"/>
        <v>0.82288491182931811</v>
      </c>
      <c r="T154" s="21">
        <f t="shared" si="51"/>
        <v>0.98889375870438512</v>
      </c>
      <c r="U154" s="21">
        <f t="shared" si="52"/>
        <v>0.94089999999999996</v>
      </c>
      <c r="V154" s="21">
        <f t="shared" si="53"/>
        <v>0.850059351547788</v>
      </c>
    </row>
    <row r="155" spans="1:22" x14ac:dyDescent="0.25">
      <c r="A155" t="str">
        <f>Tabelle2!A171</f>
        <v xml:space="preserve"> Megapithecus </v>
      </c>
      <c r="B155">
        <f>Tabelle2!$N171+(B$11*Tabelle2!$O171)</f>
        <v>2600</v>
      </c>
      <c r="C155">
        <f>Tabelle2!$N171+(C$11*Tabelle2!$O171)</f>
        <v>2600</v>
      </c>
      <c r="D155">
        <f>Tabelle2!$N171+(D$11*Tabelle2!$O171)</f>
        <v>2600</v>
      </c>
      <c r="E155" s="21">
        <f t="shared" si="36"/>
        <v>0.92386073401750668</v>
      </c>
      <c r="F155" s="21">
        <f t="shared" si="37"/>
        <v>0.92386073401750668</v>
      </c>
      <c r="G155" s="21">
        <f t="shared" si="38"/>
        <v>0.92386073401750668</v>
      </c>
      <c r="H155" s="21">
        <f t="shared" si="39"/>
        <v>0.96117674442191259</v>
      </c>
      <c r="I155" s="21">
        <f t="shared" si="40"/>
        <v>0.96117674442191259</v>
      </c>
      <c r="J155" s="21">
        <f t="shared" si="41"/>
        <v>0.96117674442191259</v>
      </c>
      <c r="K155" s="21">
        <f t="shared" si="42"/>
        <v>0.97394740105631572</v>
      </c>
      <c r="L155" s="21">
        <f t="shared" si="43"/>
        <v>0.97394740105631572</v>
      </c>
      <c r="M155" s="21">
        <f t="shared" si="44"/>
        <v>0.97394740105631572</v>
      </c>
      <c r="N155" s="21">
        <f t="shared" si="45"/>
        <v>0.98039621807813626</v>
      </c>
      <c r="O155" s="21">
        <f t="shared" si="46"/>
        <v>0.98039621807813626</v>
      </c>
      <c r="P155" s="21">
        <f t="shared" si="47"/>
        <v>0.98039621807813626</v>
      </c>
      <c r="Q155" s="21">
        <f t="shared" si="48"/>
        <v>0.98428598608414275</v>
      </c>
      <c r="R155" s="21">
        <f t="shared" si="49"/>
        <v>0.98428598608414275</v>
      </c>
      <c r="S155" s="21">
        <f t="shared" si="50"/>
        <v>0.98428598608414275</v>
      </c>
      <c r="T155" s="21">
        <f t="shared" si="51"/>
        <v>0.98688773477853886</v>
      </c>
      <c r="U155" s="21">
        <f t="shared" si="52"/>
        <v>0.98688773477853886</v>
      </c>
      <c r="V155" s="21">
        <f t="shared" si="53"/>
        <v>0.98688773477853886</v>
      </c>
    </row>
    <row r="156" spans="1:22" x14ac:dyDescent="0.25">
      <c r="A156" t="str">
        <f>Tabelle2!A172</f>
        <v xml:space="preserve"> Megapithecus </v>
      </c>
      <c r="B156">
        <f>Tabelle2!$N172+(B$11*Tabelle2!$O172)</f>
        <v>2600</v>
      </c>
      <c r="C156">
        <f>Tabelle2!$N172+(C$11*Tabelle2!$O172)</f>
        <v>2600</v>
      </c>
      <c r="D156">
        <f>Tabelle2!$N172+(D$11*Tabelle2!$O172)</f>
        <v>2600</v>
      </c>
      <c r="E156" s="21">
        <f t="shared" si="36"/>
        <v>0.92386073401750668</v>
      </c>
      <c r="F156" s="21">
        <f t="shared" si="37"/>
        <v>0.92386073401750668</v>
      </c>
      <c r="G156" s="21">
        <f t="shared" si="38"/>
        <v>0.92386073401750668</v>
      </c>
      <c r="H156" s="21">
        <f t="shared" si="39"/>
        <v>0.96117674442191259</v>
      </c>
      <c r="I156" s="21">
        <f t="shared" si="40"/>
        <v>0.96117674442191259</v>
      </c>
      <c r="J156" s="21">
        <f t="shared" si="41"/>
        <v>0.96117674442191259</v>
      </c>
      <c r="K156" s="21">
        <f t="shared" si="42"/>
        <v>0.97394740105631572</v>
      </c>
      <c r="L156" s="21">
        <f t="shared" si="43"/>
        <v>0.97394740105631572</v>
      </c>
      <c r="M156" s="21">
        <f t="shared" si="44"/>
        <v>0.97394740105631572</v>
      </c>
      <c r="N156" s="21">
        <f t="shared" si="45"/>
        <v>0.98039621807813626</v>
      </c>
      <c r="O156" s="21">
        <f t="shared" si="46"/>
        <v>0.98039621807813626</v>
      </c>
      <c r="P156" s="21">
        <f t="shared" si="47"/>
        <v>0.98039621807813626</v>
      </c>
      <c r="Q156" s="21">
        <f t="shared" si="48"/>
        <v>0.98428598608414275</v>
      </c>
      <c r="R156" s="21">
        <f t="shared" si="49"/>
        <v>0.98428598608414275</v>
      </c>
      <c r="S156" s="21">
        <f t="shared" si="50"/>
        <v>0.98428598608414275</v>
      </c>
      <c r="T156" s="21">
        <f t="shared" si="51"/>
        <v>0.98688773477853886</v>
      </c>
      <c r="U156" s="21">
        <f t="shared" si="52"/>
        <v>0.98688773477853886</v>
      </c>
      <c r="V156" s="21">
        <f t="shared" si="53"/>
        <v>0.98688773477853886</v>
      </c>
    </row>
    <row r="157" spans="1:22" x14ac:dyDescent="0.25">
      <c r="A157" t="str">
        <f>Tabelle2!A173</f>
        <v xml:space="preserve"> Megapithecus </v>
      </c>
      <c r="B157">
        <f>Tabelle2!$N173+(B$11*Tabelle2!$O173)</f>
        <v>2600</v>
      </c>
      <c r="C157">
        <f>Tabelle2!$N173+(C$11*Tabelle2!$O173)</f>
        <v>2600</v>
      </c>
      <c r="D157">
        <f>Tabelle2!$N173+(D$11*Tabelle2!$O173)</f>
        <v>2600</v>
      </c>
      <c r="E157" s="21">
        <f t="shared" si="36"/>
        <v>0.92386073401750668</v>
      </c>
      <c r="F157" s="21">
        <f t="shared" si="37"/>
        <v>0.92386073401750668</v>
      </c>
      <c r="G157" s="21">
        <f t="shared" si="38"/>
        <v>0.92386073401750668</v>
      </c>
      <c r="H157" s="21">
        <f t="shared" si="39"/>
        <v>0.96117674442191259</v>
      </c>
      <c r="I157" s="21">
        <f t="shared" si="40"/>
        <v>0.96117674442191259</v>
      </c>
      <c r="J157" s="21">
        <f t="shared" si="41"/>
        <v>0.96117674442191259</v>
      </c>
      <c r="K157" s="21">
        <f t="shared" si="42"/>
        <v>0.97394740105631572</v>
      </c>
      <c r="L157" s="21">
        <f t="shared" si="43"/>
        <v>0.97394740105631572</v>
      </c>
      <c r="M157" s="21">
        <f t="shared" si="44"/>
        <v>0.97394740105631572</v>
      </c>
      <c r="N157" s="21">
        <f t="shared" si="45"/>
        <v>0.98039621807813626</v>
      </c>
      <c r="O157" s="21">
        <f t="shared" si="46"/>
        <v>0.98039621807813626</v>
      </c>
      <c r="P157" s="21">
        <f t="shared" si="47"/>
        <v>0.98039621807813626</v>
      </c>
      <c r="Q157" s="21">
        <f t="shared" si="48"/>
        <v>0.98428598608414275</v>
      </c>
      <c r="R157" s="21">
        <f t="shared" si="49"/>
        <v>0.98428598608414275</v>
      </c>
      <c r="S157" s="21">
        <f t="shared" si="50"/>
        <v>0.98428598608414275</v>
      </c>
      <c r="T157" s="21">
        <f t="shared" si="51"/>
        <v>0.98688773477853886</v>
      </c>
      <c r="U157" s="21">
        <f t="shared" si="52"/>
        <v>0.98688773477853886</v>
      </c>
      <c r="V157" s="21">
        <f t="shared" si="53"/>
        <v>0.98688773477853886</v>
      </c>
    </row>
    <row r="158" spans="1:22" x14ac:dyDescent="0.25">
      <c r="A158" t="str">
        <f>Tabelle2!A174</f>
        <v xml:space="preserve"> Megapithecus </v>
      </c>
      <c r="B158">
        <f>Tabelle2!$N174+(B$11*Tabelle2!$O174)</f>
        <v>2600</v>
      </c>
      <c r="C158">
        <f>Tabelle2!$N174+(C$11*Tabelle2!$O174)</f>
        <v>2600</v>
      </c>
      <c r="D158">
        <f>Tabelle2!$N174+(D$11*Tabelle2!$O174)</f>
        <v>2600</v>
      </c>
      <c r="E158" s="21">
        <f t="shared" si="36"/>
        <v>0.92386073401750668</v>
      </c>
      <c r="F158" s="21">
        <f t="shared" si="37"/>
        <v>0.92386073401750668</v>
      </c>
      <c r="G158" s="21">
        <f t="shared" si="38"/>
        <v>0.92386073401750668</v>
      </c>
      <c r="H158" s="21">
        <f t="shared" si="39"/>
        <v>0.96117674442191259</v>
      </c>
      <c r="I158" s="21">
        <f t="shared" si="40"/>
        <v>0.96117674442191259</v>
      </c>
      <c r="J158" s="21">
        <f t="shared" si="41"/>
        <v>0.96117674442191259</v>
      </c>
      <c r="K158" s="21">
        <f t="shared" si="42"/>
        <v>0.97394740105631572</v>
      </c>
      <c r="L158" s="21">
        <f t="shared" si="43"/>
        <v>0.97394740105631572</v>
      </c>
      <c r="M158" s="21">
        <f t="shared" si="44"/>
        <v>0.97394740105631572</v>
      </c>
      <c r="N158" s="21">
        <f t="shared" si="45"/>
        <v>0.98039621807813626</v>
      </c>
      <c r="O158" s="21">
        <f t="shared" si="46"/>
        <v>0.98039621807813626</v>
      </c>
      <c r="P158" s="21">
        <f t="shared" si="47"/>
        <v>0.98039621807813626</v>
      </c>
      <c r="Q158" s="21">
        <f t="shared" si="48"/>
        <v>0.98428598608414275</v>
      </c>
      <c r="R158" s="21">
        <f t="shared" si="49"/>
        <v>0.98428598608414275</v>
      </c>
      <c r="S158" s="21">
        <f t="shared" si="50"/>
        <v>0.98428598608414275</v>
      </c>
      <c r="T158" s="21">
        <f t="shared" si="51"/>
        <v>0.98688773477853886</v>
      </c>
      <c r="U158" s="21">
        <f t="shared" si="52"/>
        <v>0.98688773477853886</v>
      </c>
      <c r="V158" s="21">
        <f t="shared" si="53"/>
        <v>0.98688773477853886</v>
      </c>
    </row>
    <row r="159" spans="1:22" x14ac:dyDescent="0.25">
      <c r="A159" t="str">
        <f>Tabelle2!A175</f>
        <v xml:space="preserve"> Megapithecus </v>
      </c>
      <c r="B159">
        <f>Tabelle2!$N175+(B$11*Tabelle2!$O175)</f>
        <v>2600</v>
      </c>
      <c r="C159">
        <f>Tabelle2!$N175+(C$11*Tabelle2!$O175)</f>
        <v>2600</v>
      </c>
      <c r="D159">
        <f>Tabelle2!$N175+(D$11*Tabelle2!$O175)</f>
        <v>2600</v>
      </c>
      <c r="E159" s="21">
        <f t="shared" si="36"/>
        <v>0.92386073401750668</v>
      </c>
      <c r="F159" s="21">
        <f t="shared" si="37"/>
        <v>0.92386073401750668</v>
      </c>
      <c r="G159" s="21">
        <f t="shared" si="38"/>
        <v>0.92386073401750668</v>
      </c>
      <c r="H159" s="21">
        <f t="shared" si="39"/>
        <v>0.96117674442191259</v>
      </c>
      <c r="I159" s="21">
        <f t="shared" si="40"/>
        <v>0.96117674442191259</v>
      </c>
      <c r="J159" s="21">
        <f t="shared" si="41"/>
        <v>0.96117674442191259</v>
      </c>
      <c r="K159" s="21">
        <f t="shared" si="42"/>
        <v>0.97394740105631572</v>
      </c>
      <c r="L159" s="21">
        <f t="shared" si="43"/>
        <v>0.97394740105631572</v>
      </c>
      <c r="M159" s="21">
        <f t="shared" si="44"/>
        <v>0.97394740105631572</v>
      </c>
      <c r="N159" s="21">
        <f t="shared" si="45"/>
        <v>0.98039621807813626</v>
      </c>
      <c r="O159" s="21">
        <f t="shared" si="46"/>
        <v>0.98039621807813626</v>
      </c>
      <c r="P159" s="21">
        <f t="shared" si="47"/>
        <v>0.98039621807813626</v>
      </c>
      <c r="Q159" s="21">
        <f t="shared" si="48"/>
        <v>0.98428598608414275</v>
      </c>
      <c r="R159" s="21">
        <f t="shared" si="49"/>
        <v>0.98428598608414275</v>
      </c>
      <c r="S159" s="21">
        <f t="shared" si="50"/>
        <v>0.98428598608414275</v>
      </c>
      <c r="T159" s="21">
        <f t="shared" si="51"/>
        <v>0.98688773477853886</v>
      </c>
      <c r="U159" s="21">
        <f t="shared" si="52"/>
        <v>0.98688773477853886</v>
      </c>
      <c r="V159" s="21">
        <f t="shared" si="53"/>
        <v>0.98688773477853886</v>
      </c>
    </row>
    <row r="160" spans="1:22" x14ac:dyDescent="0.25">
      <c r="A160" t="str">
        <f>Tabelle2!A176</f>
        <v xml:space="preserve"> Megapithecus </v>
      </c>
      <c r="B160">
        <f>Tabelle2!$N176+(B$11*Tabelle2!$O176)</f>
        <v>2600</v>
      </c>
      <c r="C160">
        <f>Tabelle2!$N176+(C$11*Tabelle2!$O176)</f>
        <v>2600</v>
      </c>
      <c r="D160">
        <f>Tabelle2!$N176+(D$11*Tabelle2!$O176)</f>
        <v>2600</v>
      </c>
      <c r="E160" s="21">
        <f t="shared" si="36"/>
        <v>0.92386073401750668</v>
      </c>
      <c r="F160" s="21">
        <f t="shared" si="37"/>
        <v>0.92386073401750668</v>
      </c>
      <c r="G160" s="21">
        <f t="shared" si="38"/>
        <v>0.92386073401750668</v>
      </c>
      <c r="H160" s="21">
        <f t="shared" si="39"/>
        <v>0.96117674442191259</v>
      </c>
      <c r="I160" s="21">
        <f t="shared" si="40"/>
        <v>0.96117674442191259</v>
      </c>
      <c r="J160" s="21">
        <f t="shared" si="41"/>
        <v>0.96117674442191259</v>
      </c>
      <c r="K160" s="21">
        <f t="shared" si="42"/>
        <v>0.97394740105631572</v>
      </c>
      <c r="L160" s="21">
        <f t="shared" si="43"/>
        <v>0.97394740105631572</v>
      </c>
      <c r="M160" s="21">
        <f t="shared" si="44"/>
        <v>0.97394740105631572</v>
      </c>
      <c r="N160" s="21">
        <f t="shared" si="45"/>
        <v>0.98039621807813626</v>
      </c>
      <c r="O160" s="21">
        <f t="shared" si="46"/>
        <v>0.98039621807813626</v>
      </c>
      <c r="P160" s="21">
        <f t="shared" si="47"/>
        <v>0.98039621807813626</v>
      </c>
      <c r="Q160" s="21">
        <f t="shared" si="48"/>
        <v>0.98428598608414275</v>
      </c>
      <c r="R160" s="21">
        <f t="shared" si="49"/>
        <v>0.98428598608414275</v>
      </c>
      <c r="S160" s="21">
        <f t="shared" si="50"/>
        <v>0.98428598608414275</v>
      </c>
      <c r="T160" s="21">
        <f t="shared" si="51"/>
        <v>0.98688773477853886</v>
      </c>
      <c r="U160" s="21">
        <f t="shared" si="52"/>
        <v>0.98688773477853886</v>
      </c>
      <c r="V160" s="21">
        <f t="shared" si="53"/>
        <v>0.98688773477853886</v>
      </c>
    </row>
    <row r="161" spans="1:22" x14ac:dyDescent="0.25">
      <c r="A161" t="str">
        <f>Tabelle2!A177</f>
        <v xml:space="preserve"> Megatherium</v>
      </c>
      <c r="B161">
        <f>Tabelle2!$N177+(B$11*Tabelle2!$O177)</f>
        <v>3300</v>
      </c>
      <c r="C161">
        <f>Tabelle2!$N177+(C$11*Tabelle2!$O177)</f>
        <v>18000</v>
      </c>
      <c r="D161">
        <f>Tabelle2!$N177+(D$11*Tabelle2!$O177)</f>
        <v>48000</v>
      </c>
      <c r="E161" s="21">
        <f t="shared" si="36"/>
        <v>0.90437119882657746</v>
      </c>
      <c r="F161" s="21">
        <f t="shared" si="37"/>
        <v>0.57795126254304086</v>
      </c>
      <c r="G161" s="21">
        <f t="shared" si="38"/>
        <v>0.2317625415532017</v>
      </c>
      <c r="H161" s="21">
        <f t="shared" si="39"/>
        <v>0.9509843315357922</v>
      </c>
      <c r="I161" s="21">
        <f t="shared" si="40"/>
        <v>0.76023105865456508</v>
      </c>
      <c r="J161" s="21">
        <f t="shared" si="41"/>
        <v>0.48141722191172354</v>
      </c>
      <c r="K161" s="21">
        <f t="shared" si="42"/>
        <v>0.96704995196103694</v>
      </c>
      <c r="L161" s="21">
        <f t="shared" si="43"/>
        <v>0.83297200492899992</v>
      </c>
      <c r="M161" s="21">
        <f t="shared" si="44"/>
        <v>0.61425365346268557</v>
      </c>
      <c r="N161" s="21">
        <f t="shared" si="45"/>
        <v>0.9751842551722173</v>
      </c>
      <c r="O161" s="21">
        <f t="shared" si="46"/>
        <v>0.87191229986424956</v>
      </c>
      <c r="P161" s="21">
        <f t="shared" si="47"/>
        <v>0.69384236099543783</v>
      </c>
      <c r="Q161" s="21">
        <f t="shared" si="48"/>
        <v>0.98009764263406507</v>
      </c>
      <c r="R161" s="21">
        <f t="shared" si="49"/>
        <v>0.89614491199698143</v>
      </c>
      <c r="S161" s="21">
        <f t="shared" si="50"/>
        <v>0.74646362405304778</v>
      </c>
      <c r="T161" s="21">
        <f t="shared" si="51"/>
        <v>0.9833869797597673</v>
      </c>
      <c r="U161" s="21">
        <f t="shared" si="52"/>
        <v>0.91267299999999996</v>
      </c>
      <c r="V161" s="21">
        <f t="shared" si="53"/>
        <v>0.78374335943769602</v>
      </c>
    </row>
    <row r="162" spans="1:22" x14ac:dyDescent="0.25">
      <c r="A162" t="str">
        <f>Tabelle2!A178</f>
        <v xml:space="preserve"> Mesopithecus</v>
      </c>
      <c r="B162">
        <f>Tabelle2!$N178+(B$11*Tabelle2!$O178)</f>
        <v>495</v>
      </c>
      <c r="C162">
        <f>Tabelle2!$N178+(C$11*Tabelle2!$O178)</f>
        <v>2700</v>
      </c>
      <c r="D162">
        <f>Tabelle2!$N178+(D$11*Tabelle2!$O178)</f>
        <v>7200</v>
      </c>
      <c r="E162" s="21">
        <f t="shared" si="36"/>
        <v>0.98503578580358775</v>
      </c>
      <c r="F162" s="21">
        <f t="shared" si="37"/>
        <v>0.92105100871166823</v>
      </c>
      <c r="G162" s="21">
        <f t="shared" si="38"/>
        <v>0.80307570329807754</v>
      </c>
      <c r="H162" s="21">
        <f t="shared" si="39"/>
        <v>0.99248969052760827</v>
      </c>
      <c r="I162" s="21">
        <f t="shared" si="40"/>
        <v>0.9597140244425254</v>
      </c>
      <c r="J162" s="21">
        <f t="shared" si="41"/>
        <v>0.89614491199698143</v>
      </c>
      <c r="K162" s="21">
        <f t="shared" si="42"/>
        <v>0.99498683881266892</v>
      </c>
      <c r="L162" s="21">
        <f t="shared" si="43"/>
        <v>0.9729590473501305</v>
      </c>
      <c r="M162" s="21">
        <f t="shared" si="44"/>
        <v>0.92950592451927649</v>
      </c>
      <c r="N162" s="21">
        <f t="shared" si="45"/>
        <v>0.99623776806925379</v>
      </c>
      <c r="O162" s="21">
        <f t="shared" si="46"/>
        <v>0.97964994995280097</v>
      </c>
      <c r="P162" s="21">
        <f t="shared" si="47"/>
        <v>0.94664930782047341</v>
      </c>
      <c r="Q162" s="21">
        <f t="shared" si="48"/>
        <v>0.99698908039667333</v>
      </c>
      <c r="R162" s="21">
        <f t="shared" si="49"/>
        <v>0.98368655726246035</v>
      </c>
      <c r="S162" s="21">
        <f t="shared" si="50"/>
        <v>0.95708673564521296</v>
      </c>
      <c r="T162" s="21">
        <f t="shared" si="51"/>
        <v>0.99749027003408353</v>
      </c>
      <c r="U162" s="21">
        <f t="shared" si="52"/>
        <v>0.98638686495214978</v>
      </c>
      <c r="V162" s="21">
        <f t="shared" si="53"/>
        <v>0.9641088758637566</v>
      </c>
    </row>
    <row r="163" spans="1:22" x14ac:dyDescent="0.25">
      <c r="A163" t="str">
        <f>Tabelle2!A179</f>
        <v xml:space="preserve"> Microraptor</v>
      </c>
      <c r="B163">
        <f>Tabelle2!$N179+(B$11*Tabelle2!$O179)</f>
        <v>495</v>
      </c>
      <c r="C163">
        <f>Tabelle2!$N179+(C$11*Tabelle2!$O179)</f>
        <v>2700</v>
      </c>
      <c r="D163">
        <f>Tabelle2!$N179+(D$11*Tabelle2!$O179)</f>
        <v>7200</v>
      </c>
      <c r="E163" s="21">
        <f t="shared" si="36"/>
        <v>0.98503578580358775</v>
      </c>
      <c r="F163" s="21">
        <f t="shared" si="37"/>
        <v>0.92105100871166823</v>
      </c>
      <c r="G163" s="21">
        <f t="shared" si="38"/>
        <v>0.80307570329807754</v>
      </c>
      <c r="H163" s="21">
        <f t="shared" si="39"/>
        <v>0.99248969052760827</v>
      </c>
      <c r="I163" s="21">
        <f t="shared" si="40"/>
        <v>0.9597140244425254</v>
      </c>
      <c r="J163" s="21">
        <f t="shared" si="41"/>
        <v>0.89614491199698143</v>
      </c>
      <c r="K163" s="21">
        <f t="shared" si="42"/>
        <v>0.99498683881266892</v>
      </c>
      <c r="L163" s="21">
        <f t="shared" si="43"/>
        <v>0.9729590473501305</v>
      </c>
      <c r="M163" s="21">
        <f t="shared" si="44"/>
        <v>0.92950592451927649</v>
      </c>
      <c r="N163" s="21">
        <f t="shared" si="45"/>
        <v>0.99623776806925379</v>
      </c>
      <c r="O163" s="21">
        <f t="shared" si="46"/>
        <v>0.97964994995280097</v>
      </c>
      <c r="P163" s="21">
        <f t="shared" si="47"/>
        <v>0.94664930782047341</v>
      </c>
      <c r="Q163" s="21">
        <f t="shared" si="48"/>
        <v>0.99698908039667333</v>
      </c>
      <c r="R163" s="21">
        <f t="shared" si="49"/>
        <v>0.98368655726246035</v>
      </c>
      <c r="S163" s="21">
        <f t="shared" si="50"/>
        <v>0.95708673564521296</v>
      </c>
      <c r="T163" s="21">
        <f t="shared" si="51"/>
        <v>0.99749027003408353</v>
      </c>
      <c r="U163" s="21">
        <f t="shared" si="52"/>
        <v>0.98638686495214978</v>
      </c>
      <c r="V163" s="21">
        <f t="shared" si="53"/>
        <v>0.9641088758637566</v>
      </c>
    </row>
    <row r="164" spans="1:22" x14ac:dyDescent="0.25">
      <c r="A164" t="str">
        <f>Tabelle2!A180</f>
        <v xml:space="preserve"> Moeder, Master of the Ocean </v>
      </c>
      <c r="B164">
        <f>Tabelle2!$N180+(B$11*Tabelle2!$O180)</f>
        <v>12000</v>
      </c>
      <c r="C164">
        <f>Tabelle2!$N180+(C$11*Tabelle2!$O180)</f>
        <v>12000</v>
      </c>
      <c r="D164">
        <f>Tabelle2!$N180+(D$11*Tabelle2!$O180)</f>
        <v>12000</v>
      </c>
      <c r="E164" s="21">
        <f t="shared" si="36"/>
        <v>0.69384236099543783</v>
      </c>
      <c r="F164" s="21">
        <f t="shared" si="37"/>
        <v>0.69384236099543783</v>
      </c>
      <c r="G164" s="21">
        <f t="shared" si="38"/>
        <v>0.69384236099543783</v>
      </c>
      <c r="H164" s="21">
        <f t="shared" si="39"/>
        <v>0.83297200492899992</v>
      </c>
      <c r="I164" s="21">
        <f t="shared" si="40"/>
        <v>0.83297200492899992</v>
      </c>
      <c r="J164" s="21">
        <f t="shared" si="41"/>
        <v>0.83297200492899992</v>
      </c>
      <c r="K164" s="21">
        <f t="shared" si="42"/>
        <v>0.88529280999999993</v>
      </c>
      <c r="L164" s="21">
        <f t="shared" si="43"/>
        <v>0.88529280999999993</v>
      </c>
      <c r="M164" s="21">
        <f t="shared" si="44"/>
        <v>0.88529280999999993</v>
      </c>
      <c r="N164" s="21">
        <f t="shared" si="45"/>
        <v>0.91267299999999996</v>
      </c>
      <c r="O164" s="21">
        <f t="shared" si="46"/>
        <v>0.91267299999999996</v>
      </c>
      <c r="P164" s="21">
        <f t="shared" si="47"/>
        <v>0.91267299999999996</v>
      </c>
      <c r="Q164" s="21">
        <f t="shared" si="48"/>
        <v>0.92950592451927649</v>
      </c>
      <c r="R164" s="21">
        <f t="shared" si="49"/>
        <v>0.92950592451927649</v>
      </c>
      <c r="S164" s="21">
        <f t="shared" si="50"/>
        <v>0.92950592451927649</v>
      </c>
      <c r="T164" s="21">
        <f t="shared" si="51"/>
        <v>0.94089999999999996</v>
      </c>
      <c r="U164" s="21">
        <f t="shared" si="52"/>
        <v>0.94089999999999996</v>
      </c>
      <c r="V164" s="21">
        <f t="shared" si="53"/>
        <v>0.94089999999999996</v>
      </c>
    </row>
    <row r="165" spans="1:22" x14ac:dyDescent="0.25">
      <c r="A165" t="str">
        <f>Tabelle2!A181</f>
        <v xml:space="preserve"> Moeder, Master of the Ocean </v>
      </c>
      <c r="B165">
        <f>Tabelle2!$N181+(B$11*Tabelle2!$O181)</f>
        <v>12000</v>
      </c>
      <c r="C165">
        <f>Tabelle2!$N181+(C$11*Tabelle2!$O181)</f>
        <v>12000</v>
      </c>
      <c r="D165">
        <f>Tabelle2!$N181+(D$11*Tabelle2!$O181)</f>
        <v>12000</v>
      </c>
      <c r="E165" s="21">
        <f t="shared" si="36"/>
        <v>0.69384236099543783</v>
      </c>
      <c r="F165" s="21">
        <f t="shared" si="37"/>
        <v>0.69384236099543783</v>
      </c>
      <c r="G165" s="21">
        <f t="shared" si="38"/>
        <v>0.69384236099543783</v>
      </c>
      <c r="H165" s="21">
        <f t="shared" si="39"/>
        <v>0.83297200492899992</v>
      </c>
      <c r="I165" s="21">
        <f t="shared" si="40"/>
        <v>0.83297200492899992</v>
      </c>
      <c r="J165" s="21">
        <f t="shared" si="41"/>
        <v>0.83297200492899992</v>
      </c>
      <c r="K165" s="21">
        <f t="shared" si="42"/>
        <v>0.88529280999999993</v>
      </c>
      <c r="L165" s="21">
        <f t="shared" si="43"/>
        <v>0.88529280999999993</v>
      </c>
      <c r="M165" s="21">
        <f t="shared" si="44"/>
        <v>0.88529280999999993</v>
      </c>
      <c r="N165" s="21">
        <f t="shared" si="45"/>
        <v>0.91267299999999996</v>
      </c>
      <c r="O165" s="21">
        <f t="shared" si="46"/>
        <v>0.91267299999999996</v>
      </c>
      <c r="P165" s="21">
        <f t="shared" si="47"/>
        <v>0.91267299999999996</v>
      </c>
      <c r="Q165" s="21">
        <f t="shared" si="48"/>
        <v>0.92950592451927649</v>
      </c>
      <c r="R165" s="21">
        <f t="shared" si="49"/>
        <v>0.92950592451927649</v>
      </c>
      <c r="S165" s="21">
        <f t="shared" si="50"/>
        <v>0.92950592451927649</v>
      </c>
      <c r="T165" s="21">
        <f t="shared" si="51"/>
        <v>0.94089999999999996</v>
      </c>
      <c r="U165" s="21">
        <f t="shared" si="52"/>
        <v>0.94089999999999996</v>
      </c>
      <c r="V165" s="21">
        <f t="shared" si="53"/>
        <v>0.94089999999999996</v>
      </c>
    </row>
    <row r="166" spans="1:22" x14ac:dyDescent="0.25">
      <c r="A166" t="str">
        <f>Tabelle2!A182</f>
        <v xml:space="preserve"> Moeder, Master of the Ocean </v>
      </c>
      <c r="B166">
        <f>Tabelle2!$N182+(B$11*Tabelle2!$O182)</f>
        <v>12000</v>
      </c>
      <c r="C166">
        <f>Tabelle2!$N182+(C$11*Tabelle2!$O182)</f>
        <v>12000</v>
      </c>
      <c r="D166">
        <f>Tabelle2!$N182+(D$11*Tabelle2!$O182)</f>
        <v>12000</v>
      </c>
      <c r="E166" s="21">
        <f t="shared" si="36"/>
        <v>0.69384236099543783</v>
      </c>
      <c r="F166" s="21">
        <f t="shared" si="37"/>
        <v>0.69384236099543783</v>
      </c>
      <c r="G166" s="21">
        <f t="shared" si="38"/>
        <v>0.69384236099543783</v>
      </c>
      <c r="H166" s="21">
        <f t="shared" si="39"/>
        <v>0.83297200492899992</v>
      </c>
      <c r="I166" s="21">
        <f t="shared" si="40"/>
        <v>0.83297200492899992</v>
      </c>
      <c r="J166" s="21">
        <f t="shared" si="41"/>
        <v>0.83297200492899992</v>
      </c>
      <c r="K166" s="21">
        <f t="shared" si="42"/>
        <v>0.88529280999999993</v>
      </c>
      <c r="L166" s="21">
        <f t="shared" si="43"/>
        <v>0.88529280999999993</v>
      </c>
      <c r="M166" s="21">
        <f t="shared" si="44"/>
        <v>0.88529280999999993</v>
      </c>
      <c r="N166" s="21">
        <f t="shared" si="45"/>
        <v>0.91267299999999996</v>
      </c>
      <c r="O166" s="21">
        <f t="shared" si="46"/>
        <v>0.91267299999999996</v>
      </c>
      <c r="P166" s="21">
        <f t="shared" si="47"/>
        <v>0.91267299999999996</v>
      </c>
      <c r="Q166" s="21">
        <f t="shared" si="48"/>
        <v>0.92950592451927649</v>
      </c>
      <c r="R166" s="21">
        <f t="shared" si="49"/>
        <v>0.92950592451927649</v>
      </c>
      <c r="S166" s="21">
        <f t="shared" si="50"/>
        <v>0.92950592451927649</v>
      </c>
      <c r="T166" s="21">
        <f t="shared" si="51"/>
        <v>0.94089999999999996</v>
      </c>
      <c r="U166" s="21">
        <f t="shared" si="52"/>
        <v>0.94089999999999996</v>
      </c>
      <c r="V166" s="21">
        <f t="shared" si="53"/>
        <v>0.94089999999999996</v>
      </c>
    </row>
    <row r="167" spans="1:22" x14ac:dyDescent="0.25">
      <c r="A167" t="str">
        <f>Tabelle2!A183</f>
        <v xml:space="preserve"> Morellatops</v>
      </c>
      <c r="B167">
        <f>Tabelle2!$N183+(B$11*Tabelle2!$O183)</f>
        <v>6600</v>
      </c>
      <c r="C167">
        <f>Tabelle2!$N183+(C$11*Tabelle2!$O183)</f>
        <v>36000</v>
      </c>
      <c r="D167">
        <f>Tabelle2!$N183+(D$11*Tabelle2!$O183)</f>
        <v>96000</v>
      </c>
      <c r="E167" s="21">
        <f t="shared" si="36"/>
        <v>0.81788726526702094</v>
      </c>
      <c r="F167" s="21">
        <f t="shared" si="37"/>
        <v>0.33402766187509492</v>
      </c>
      <c r="G167" s="21">
        <f t="shared" si="38"/>
        <v>5.3713875667199547E-2</v>
      </c>
      <c r="H167" s="21">
        <f t="shared" si="39"/>
        <v>0.90437119882657746</v>
      </c>
      <c r="I167" s="21">
        <f t="shared" si="40"/>
        <v>0.57795126254304086</v>
      </c>
      <c r="J167" s="21">
        <f t="shared" si="41"/>
        <v>0.2317625415532017</v>
      </c>
      <c r="K167" s="21">
        <f t="shared" si="42"/>
        <v>0.93518560958784391</v>
      </c>
      <c r="L167" s="21">
        <f t="shared" si="43"/>
        <v>0.69384236099543783</v>
      </c>
      <c r="M167" s="21">
        <f t="shared" si="44"/>
        <v>0.37730755079225703</v>
      </c>
      <c r="N167" s="21">
        <f t="shared" si="45"/>
        <v>0.9509843315357922</v>
      </c>
      <c r="O167" s="21">
        <f t="shared" si="46"/>
        <v>0.76023105865456508</v>
      </c>
      <c r="P167" s="21">
        <f t="shared" si="47"/>
        <v>0.48141722191172354</v>
      </c>
      <c r="Q167" s="21">
        <f t="shared" si="48"/>
        <v>0.96059138909685149</v>
      </c>
      <c r="R167" s="21">
        <f t="shared" si="49"/>
        <v>0.80307570329807754</v>
      </c>
      <c r="S167" s="21">
        <f t="shared" si="50"/>
        <v>0.55720794203440982</v>
      </c>
      <c r="T167" s="21">
        <f t="shared" si="51"/>
        <v>0.96704995196103694</v>
      </c>
      <c r="U167" s="21">
        <f t="shared" si="52"/>
        <v>0.83297200492899992</v>
      </c>
      <c r="V167" s="21">
        <f t="shared" si="53"/>
        <v>0.61425365346268557</v>
      </c>
    </row>
    <row r="168" spans="1:22" x14ac:dyDescent="0.25">
      <c r="A168" t="str">
        <f>Tabelle2!A184</f>
        <v xml:space="preserve"> Mosasaurus</v>
      </c>
      <c r="B168">
        <f>Tabelle2!$N184+(B$11*Tabelle2!$O184)</f>
        <v>8800</v>
      </c>
      <c r="C168">
        <f>Tabelle2!$N184+(C$11*Tabelle2!$O184)</f>
        <v>48000</v>
      </c>
      <c r="D168">
        <f>Tabelle2!$N184+(D$11*Tabelle2!$O184)</f>
        <v>128000</v>
      </c>
      <c r="E168" s="21">
        <f t="shared" si="36"/>
        <v>0.76487640074287355</v>
      </c>
      <c r="F168" s="21">
        <f t="shared" si="37"/>
        <v>0.2317625415532017</v>
      </c>
      <c r="G168" s="21">
        <f t="shared" si="38"/>
        <v>2.0266650871550874E-2</v>
      </c>
      <c r="H168" s="21">
        <f t="shared" si="39"/>
        <v>0.87457212438018717</v>
      </c>
      <c r="I168" s="21">
        <f t="shared" si="40"/>
        <v>0.48141722191172354</v>
      </c>
      <c r="J168" s="21">
        <f t="shared" si="41"/>
        <v>0.14236098788485163</v>
      </c>
      <c r="K168" s="21">
        <f t="shared" si="42"/>
        <v>0.91452816934698211</v>
      </c>
      <c r="L168" s="21">
        <f t="shared" si="43"/>
        <v>0.61425365346268557</v>
      </c>
      <c r="M168" s="21">
        <f t="shared" si="44"/>
        <v>0.27264277621463529</v>
      </c>
      <c r="N168" s="21">
        <f t="shared" si="45"/>
        <v>0.93518560958784391</v>
      </c>
      <c r="O168" s="21">
        <f t="shared" si="46"/>
        <v>0.69384236099543783</v>
      </c>
      <c r="P168" s="21">
        <f t="shared" si="47"/>
        <v>0.37730755079225703</v>
      </c>
      <c r="Q168" s="21">
        <f t="shared" si="48"/>
        <v>0.94780337822639815</v>
      </c>
      <c r="R168" s="21">
        <f t="shared" si="49"/>
        <v>0.74646362405304778</v>
      </c>
      <c r="S168" s="21">
        <f t="shared" si="50"/>
        <v>0.45851800825158107</v>
      </c>
      <c r="T168" s="21">
        <f t="shared" si="51"/>
        <v>0.95630966184964483</v>
      </c>
      <c r="U168" s="21">
        <f t="shared" si="52"/>
        <v>0.78374335943769602</v>
      </c>
      <c r="V168" s="21">
        <f t="shared" si="53"/>
        <v>0.5221520623483501</v>
      </c>
    </row>
    <row r="169" spans="1:22" x14ac:dyDescent="0.25">
      <c r="A169" t="str">
        <f>Tabelle2!A185</f>
        <v xml:space="preserve"> Moschops</v>
      </c>
      <c r="B169">
        <f>Tabelle2!$N185+(B$11*Tabelle2!$O185)</f>
        <v>330</v>
      </c>
      <c r="C169">
        <f>Tabelle2!$N185+(C$11*Tabelle2!$O185)</f>
        <v>1800</v>
      </c>
      <c r="D169">
        <f>Tabelle2!$N185+(D$11*Tabelle2!$O185)</f>
        <v>4800</v>
      </c>
      <c r="E169" s="21">
        <f t="shared" si="36"/>
        <v>0.98999880941042806</v>
      </c>
      <c r="F169" s="21">
        <f t="shared" si="37"/>
        <v>0.94664930782047341</v>
      </c>
      <c r="G169" s="21">
        <f t="shared" si="38"/>
        <v>0.86398126371643491</v>
      </c>
      <c r="H169" s="21">
        <f t="shared" si="39"/>
        <v>0.99498683881266892</v>
      </c>
      <c r="I169" s="21">
        <f t="shared" si="40"/>
        <v>0.9729590473501305</v>
      </c>
      <c r="J169" s="21">
        <f t="shared" si="41"/>
        <v>0.92950592451927649</v>
      </c>
      <c r="K169" s="21">
        <f t="shared" si="42"/>
        <v>0.99665509388124518</v>
      </c>
      <c r="L169" s="21">
        <f t="shared" si="43"/>
        <v>0.98189046021628945</v>
      </c>
      <c r="M169" s="21">
        <f t="shared" si="44"/>
        <v>0.95243374640980072</v>
      </c>
      <c r="N169" s="21">
        <f t="shared" si="45"/>
        <v>0.99749027003408353</v>
      </c>
      <c r="O169" s="21">
        <f t="shared" si="46"/>
        <v>0.98638686495214978</v>
      </c>
      <c r="P169" s="21">
        <f t="shared" si="47"/>
        <v>0.9641088758637566</v>
      </c>
      <c r="Q169" s="21">
        <f t="shared" si="48"/>
        <v>0.99799171162114664</v>
      </c>
      <c r="R169" s="21">
        <f t="shared" si="49"/>
        <v>0.98909458522826221</v>
      </c>
      <c r="S169" s="21">
        <f t="shared" si="50"/>
        <v>0.97118253748721828</v>
      </c>
      <c r="T169" s="21">
        <f t="shared" si="51"/>
        <v>0.9983261460470948</v>
      </c>
      <c r="U169" s="21">
        <f t="shared" si="52"/>
        <v>0.99090386022877586</v>
      </c>
      <c r="V169" s="21">
        <f t="shared" si="53"/>
        <v>0.97592712146440563</v>
      </c>
    </row>
    <row r="170" spans="1:22" x14ac:dyDescent="0.25">
      <c r="A170" t="str">
        <f>Tabelle2!A186</f>
        <v xml:space="preserve"> Nameless</v>
      </c>
      <c r="B170">
        <f>Tabelle2!$N186+(B$11*Tabelle2!$O186)</f>
        <v>1650</v>
      </c>
      <c r="C170">
        <f>Tabelle2!$N186+(C$11*Tabelle2!$O186)</f>
        <v>9000</v>
      </c>
      <c r="D170">
        <f>Tabelle2!$N186+(D$11*Tabelle2!$O186)</f>
        <v>24000</v>
      </c>
      <c r="E170" s="21">
        <f t="shared" si="36"/>
        <v>0.9509843315357922</v>
      </c>
      <c r="F170" s="21">
        <f t="shared" si="37"/>
        <v>0.76023105865456508</v>
      </c>
      <c r="G170" s="21">
        <f t="shared" si="38"/>
        <v>0.48141722191172354</v>
      </c>
      <c r="H170" s="21">
        <f t="shared" si="39"/>
        <v>0.9751842551722173</v>
      </c>
      <c r="I170" s="21">
        <f t="shared" si="40"/>
        <v>0.87191229986424956</v>
      </c>
      <c r="J170" s="21">
        <f t="shared" si="41"/>
        <v>0.69384236099543783</v>
      </c>
      <c r="K170" s="21">
        <f t="shared" si="42"/>
        <v>0.9833869797597673</v>
      </c>
      <c r="L170" s="21">
        <f t="shared" si="43"/>
        <v>0.91267299999999996</v>
      </c>
      <c r="M170" s="21">
        <f t="shared" si="44"/>
        <v>0.78374335943769602</v>
      </c>
      <c r="N170" s="21">
        <f t="shared" si="45"/>
        <v>0.9875141797322291</v>
      </c>
      <c r="O170" s="21">
        <f t="shared" si="46"/>
        <v>0.93376244295015931</v>
      </c>
      <c r="P170" s="21">
        <f t="shared" si="47"/>
        <v>0.83297200492899992</v>
      </c>
      <c r="Q170" s="21">
        <f t="shared" si="48"/>
        <v>0.98999880941042806</v>
      </c>
      <c r="R170" s="21">
        <f t="shared" si="49"/>
        <v>0.94664930782047341</v>
      </c>
      <c r="S170" s="21">
        <f t="shared" si="50"/>
        <v>0.86398126371643491</v>
      </c>
      <c r="T170" s="21">
        <f t="shared" si="51"/>
        <v>0.99165870124744393</v>
      </c>
      <c r="U170" s="21">
        <f t="shared" si="52"/>
        <v>0.95533920677422213</v>
      </c>
      <c r="V170" s="21">
        <f t="shared" si="53"/>
        <v>0.88529280999999993</v>
      </c>
    </row>
    <row r="171" spans="1:22" x14ac:dyDescent="0.25">
      <c r="A171" t="str">
        <f>Tabelle2!A187</f>
        <v xml:space="preserve"> Noglin</v>
      </c>
      <c r="B171">
        <f>Tabelle2!$N187+(B$11*Tabelle2!$O187)</f>
        <v>495</v>
      </c>
      <c r="C171">
        <f>Tabelle2!$N187+(C$11*Tabelle2!$O187)</f>
        <v>2700</v>
      </c>
      <c r="D171">
        <f>Tabelle2!$N187+(D$11*Tabelle2!$O187)</f>
        <v>7200</v>
      </c>
      <c r="E171" s="21">
        <f t="shared" si="36"/>
        <v>0.98503578580358775</v>
      </c>
      <c r="F171" s="21">
        <f t="shared" si="37"/>
        <v>0.92105100871166823</v>
      </c>
      <c r="G171" s="21">
        <f t="shared" si="38"/>
        <v>0.80307570329807754</v>
      </c>
      <c r="H171" s="21">
        <f t="shared" si="39"/>
        <v>0.99248969052760827</v>
      </c>
      <c r="I171" s="21">
        <f t="shared" si="40"/>
        <v>0.9597140244425254</v>
      </c>
      <c r="J171" s="21">
        <f t="shared" si="41"/>
        <v>0.89614491199698143</v>
      </c>
      <c r="K171" s="21">
        <f t="shared" si="42"/>
        <v>0.99498683881266892</v>
      </c>
      <c r="L171" s="21">
        <f t="shared" si="43"/>
        <v>0.9729590473501305</v>
      </c>
      <c r="M171" s="21">
        <f t="shared" si="44"/>
        <v>0.92950592451927649</v>
      </c>
      <c r="N171" s="21">
        <f t="shared" si="45"/>
        <v>0.99623776806925379</v>
      </c>
      <c r="O171" s="21">
        <f t="shared" si="46"/>
        <v>0.97964994995280097</v>
      </c>
      <c r="P171" s="21">
        <f t="shared" si="47"/>
        <v>0.94664930782047341</v>
      </c>
      <c r="Q171" s="21">
        <f t="shared" si="48"/>
        <v>0.99698908039667333</v>
      </c>
      <c r="R171" s="21">
        <f t="shared" si="49"/>
        <v>0.98368655726246035</v>
      </c>
      <c r="S171" s="21">
        <f t="shared" si="50"/>
        <v>0.95708673564521296</v>
      </c>
      <c r="T171" s="21">
        <f t="shared" si="51"/>
        <v>0.99749027003408353</v>
      </c>
      <c r="U171" s="21">
        <f t="shared" si="52"/>
        <v>0.98638686495214978</v>
      </c>
      <c r="V171" s="21">
        <f t="shared" si="53"/>
        <v>0.9641088758637566</v>
      </c>
    </row>
    <row r="172" spans="1:22" x14ac:dyDescent="0.25">
      <c r="A172" t="str">
        <f>Tabelle2!A188</f>
        <v xml:space="preserve"> Oasisaur</v>
      </c>
      <c r="B172">
        <f>Tabelle2!$N188+(B$11*Tabelle2!$O188)</f>
        <v>9680</v>
      </c>
      <c r="C172">
        <f>Tabelle2!$N188+(C$11*Tabelle2!$O188)</f>
        <v>52800</v>
      </c>
      <c r="D172">
        <f>Tabelle2!$N188+(D$11*Tabelle2!$O188)</f>
        <v>140800</v>
      </c>
      <c r="E172" s="21">
        <f t="shared" si="36"/>
        <v>0.74464690315473991</v>
      </c>
      <c r="F172" s="21">
        <f t="shared" si="37"/>
        <v>0.20023849353326781</v>
      </c>
      <c r="G172" s="21">
        <f t="shared" si="38"/>
        <v>1.3723351420993166E-2</v>
      </c>
      <c r="H172" s="21">
        <f t="shared" si="39"/>
        <v>0.86292925732920878</v>
      </c>
      <c r="I172" s="21">
        <f t="shared" si="40"/>
        <v>0.44748015993255813</v>
      </c>
      <c r="J172" s="21">
        <f t="shared" si="41"/>
        <v>0.11714670896356058</v>
      </c>
      <c r="K172" s="21">
        <f t="shared" si="42"/>
        <v>0.90639352813163787</v>
      </c>
      <c r="L172" s="21">
        <f t="shared" si="43"/>
        <v>0.58503590841337294</v>
      </c>
      <c r="M172" s="21">
        <f t="shared" si="44"/>
        <v>0.23941612363242087</v>
      </c>
      <c r="N172" s="21">
        <f t="shared" si="45"/>
        <v>0.92893985668029599</v>
      </c>
      <c r="O172" s="21">
        <f t="shared" si="46"/>
        <v>0.66893957868596632</v>
      </c>
      <c r="P172" s="21">
        <f t="shared" si="47"/>
        <v>0.34226701413306043</v>
      </c>
      <c r="Q172" s="21">
        <f t="shared" si="48"/>
        <v>0.94273596930065839</v>
      </c>
      <c r="R172" s="21">
        <f t="shared" si="49"/>
        <v>0.72495243654974384</v>
      </c>
      <c r="S172" s="21">
        <f t="shared" si="50"/>
        <v>0.4241232072733675</v>
      </c>
      <c r="T172" s="21">
        <f t="shared" si="51"/>
        <v>0.95204701991636831</v>
      </c>
      <c r="U172" s="21">
        <f t="shared" si="52"/>
        <v>0.76487640074287355</v>
      </c>
      <c r="V172" s="21">
        <f t="shared" si="53"/>
        <v>0.48930166935380554</v>
      </c>
    </row>
    <row r="173" spans="1:22" x14ac:dyDescent="0.25">
      <c r="A173" t="str">
        <f>Tabelle2!A189</f>
        <v xml:space="preserve"> Onyc</v>
      </c>
      <c r="B173">
        <f>Tabelle2!$N189+(B$11*Tabelle2!$O189)</f>
        <v>1650</v>
      </c>
      <c r="C173">
        <f>Tabelle2!$N189+(C$11*Tabelle2!$O189)</f>
        <v>9000</v>
      </c>
      <c r="D173">
        <f>Tabelle2!$N189+(D$11*Tabelle2!$O189)</f>
        <v>24000</v>
      </c>
      <c r="E173" s="21">
        <f t="shared" si="36"/>
        <v>0.9509843315357922</v>
      </c>
      <c r="F173" s="21">
        <f t="shared" si="37"/>
        <v>0.76023105865456508</v>
      </c>
      <c r="G173" s="21">
        <f t="shared" si="38"/>
        <v>0.48141722191172354</v>
      </c>
      <c r="H173" s="21">
        <f t="shared" si="39"/>
        <v>0.9751842551722173</v>
      </c>
      <c r="I173" s="21">
        <f t="shared" si="40"/>
        <v>0.87191229986424956</v>
      </c>
      <c r="J173" s="21">
        <f t="shared" si="41"/>
        <v>0.69384236099543783</v>
      </c>
      <c r="K173" s="21">
        <f t="shared" si="42"/>
        <v>0.9833869797597673</v>
      </c>
      <c r="L173" s="21">
        <f t="shared" si="43"/>
        <v>0.91267299999999996</v>
      </c>
      <c r="M173" s="21">
        <f t="shared" si="44"/>
        <v>0.78374335943769602</v>
      </c>
      <c r="N173" s="21">
        <f t="shared" si="45"/>
        <v>0.9875141797322291</v>
      </c>
      <c r="O173" s="21">
        <f t="shared" si="46"/>
        <v>0.93376244295015931</v>
      </c>
      <c r="P173" s="21">
        <f t="shared" si="47"/>
        <v>0.83297200492899992</v>
      </c>
      <c r="Q173" s="21">
        <f t="shared" si="48"/>
        <v>0.98999880941042806</v>
      </c>
      <c r="R173" s="21">
        <f t="shared" si="49"/>
        <v>0.94664930782047341</v>
      </c>
      <c r="S173" s="21">
        <f t="shared" si="50"/>
        <v>0.86398126371643491</v>
      </c>
      <c r="T173" s="21">
        <f t="shared" si="51"/>
        <v>0.99165870124744393</v>
      </c>
      <c r="U173" s="21">
        <f t="shared" si="52"/>
        <v>0.95533920677422213</v>
      </c>
      <c r="V173" s="21">
        <f t="shared" si="53"/>
        <v>0.88529280999999993</v>
      </c>
    </row>
    <row r="174" spans="1:22" x14ac:dyDescent="0.25">
      <c r="A174" t="str">
        <f>Tabelle2!A190</f>
        <v xml:space="preserve"> Otter</v>
      </c>
      <c r="B174">
        <f>Tabelle2!$N190+(B$11*Tabelle2!$O190)</f>
        <v>440</v>
      </c>
      <c r="C174">
        <f>Tabelle2!$N190+(C$11*Tabelle2!$O190)</f>
        <v>2400</v>
      </c>
      <c r="D174">
        <f>Tabelle2!$N190+(D$11*Tabelle2!$O190)</f>
        <v>6400</v>
      </c>
      <c r="E174" s="21">
        <f t="shared" si="36"/>
        <v>0.98668735633527116</v>
      </c>
      <c r="F174" s="21">
        <f t="shared" si="37"/>
        <v>0.92950592451927649</v>
      </c>
      <c r="G174" s="21">
        <f t="shared" si="38"/>
        <v>0.82288491182931811</v>
      </c>
      <c r="H174" s="21">
        <f t="shared" si="39"/>
        <v>0.99332137615943372</v>
      </c>
      <c r="I174" s="21">
        <f t="shared" si="40"/>
        <v>0.9641088758637566</v>
      </c>
      <c r="J174" s="21">
        <f t="shared" si="41"/>
        <v>0.90713004130020858</v>
      </c>
      <c r="K174" s="21">
        <f t="shared" si="42"/>
        <v>0.99554261333611127</v>
      </c>
      <c r="L174" s="21">
        <f t="shared" si="43"/>
        <v>0.97592712146440563</v>
      </c>
      <c r="M174" s="21">
        <f t="shared" si="44"/>
        <v>0.93708653979685208</v>
      </c>
      <c r="N174" s="21">
        <f t="shared" si="45"/>
        <v>0.99665509388124518</v>
      </c>
      <c r="O174" s="21">
        <f t="shared" si="46"/>
        <v>0.98189046021628945</v>
      </c>
      <c r="P174" s="21">
        <f t="shared" si="47"/>
        <v>0.95243374640980072</v>
      </c>
      <c r="Q174" s="21">
        <f t="shared" si="48"/>
        <v>0.99732317883346044</v>
      </c>
      <c r="R174" s="21">
        <f t="shared" si="49"/>
        <v>0.98548593977145016</v>
      </c>
      <c r="S174" s="21">
        <f t="shared" si="50"/>
        <v>0.96176245644479597</v>
      </c>
      <c r="T174" s="21">
        <f t="shared" si="51"/>
        <v>0.99776881758056124</v>
      </c>
      <c r="U174" s="21">
        <f t="shared" si="52"/>
        <v>0.98789023755901428</v>
      </c>
      <c r="V174" s="21">
        <f t="shared" si="53"/>
        <v>0.96803230307508448</v>
      </c>
    </row>
    <row r="175" spans="1:22" x14ac:dyDescent="0.25">
      <c r="A175" t="str">
        <f>Tabelle2!A191</f>
        <v xml:space="preserve"> Overseer </v>
      </c>
      <c r="B175">
        <f>Tabelle2!$N191+(B$11*Tabelle2!$O191)</f>
        <v>2600</v>
      </c>
      <c r="C175">
        <f>Tabelle2!$N191+(C$11*Tabelle2!$O191)</f>
        <v>2600</v>
      </c>
      <c r="D175">
        <f>Tabelle2!$N191+(D$11*Tabelle2!$O191)</f>
        <v>2600</v>
      </c>
      <c r="E175" s="21">
        <f t="shared" si="36"/>
        <v>0.92386073401750668</v>
      </c>
      <c r="F175" s="21">
        <f t="shared" si="37"/>
        <v>0.92386073401750668</v>
      </c>
      <c r="G175" s="21">
        <f t="shared" si="38"/>
        <v>0.92386073401750668</v>
      </c>
      <c r="H175" s="21">
        <f t="shared" si="39"/>
        <v>0.96117674442191259</v>
      </c>
      <c r="I175" s="21">
        <f t="shared" si="40"/>
        <v>0.96117674442191259</v>
      </c>
      <c r="J175" s="21">
        <f t="shared" si="41"/>
        <v>0.96117674442191259</v>
      </c>
      <c r="K175" s="21">
        <f t="shared" si="42"/>
        <v>0.97394740105631572</v>
      </c>
      <c r="L175" s="21">
        <f t="shared" si="43"/>
        <v>0.97394740105631572</v>
      </c>
      <c r="M175" s="21">
        <f t="shared" si="44"/>
        <v>0.97394740105631572</v>
      </c>
      <c r="N175" s="21">
        <f t="shared" si="45"/>
        <v>0.98039621807813626</v>
      </c>
      <c r="O175" s="21">
        <f t="shared" si="46"/>
        <v>0.98039621807813626</v>
      </c>
      <c r="P175" s="21">
        <f t="shared" si="47"/>
        <v>0.98039621807813626</v>
      </c>
      <c r="Q175" s="21">
        <f t="shared" si="48"/>
        <v>0.98428598608414275</v>
      </c>
      <c r="R175" s="21">
        <f t="shared" si="49"/>
        <v>0.98428598608414275</v>
      </c>
      <c r="S175" s="21">
        <f t="shared" si="50"/>
        <v>0.98428598608414275</v>
      </c>
      <c r="T175" s="21">
        <f t="shared" si="51"/>
        <v>0.98688773477853886</v>
      </c>
      <c r="U175" s="21">
        <f t="shared" si="52"/>
        <v>0.98688773477853886</v>
      </c>
      <c r="V175" s="21">
        <f t="shared" si="53"/>
        <v>0.98688773477853886</v>
      </c>
    </row>
    <row r="176" spans="1:22" x14ac:dyDescent="0.25">
      <c r="A176" t="str">
        <f>Tabelle2!A192</f>
        <v xml:space="preserve"> Overseer </v>
      </c>
      <c r="B176">
        <f>Tabelle2!$N192+(B$11*Tabelle2!$O192)</f>
        <v>2600</v>
      </c>
      <c r="C176">
        <f>Tabelle2!$N192+(C$11*Tabelle2!$O192)</f>
        <v>2600</v>
      </c>
      <c r="D176">
        <f>Tabelle2!$N192+(D$11*Tabelle2!$O192)</f>
        <v>2600</v>
      </c>
      <c r="E176" s="21">
        <f t="shared" si="36"/>
        <v>0.92386073401750668</v>
      </c>
      <c r="F176" s="21">
        <f t="shared" si="37"/>
        <v>0.92386073401750668</v>
      </c>
      <c r="G176" s="21">
        <f t="shared" si="38"/>
        <v>0.92386073401750668</v>
      </c>
      <c r="H176" s="21">
        <f t="shared" si="39"/>
        <v>0.96117674442191259</v>
      </c>
      <c r="I176" s="21">
        <f t="shared" si="40"/>
        <v>0.96117674442191259</v>
      </c>
      <c r="J176" s="21">
        <f t="shared" si="41"/>
        <v>0.96117674442191259</v>
      </c>
      <c r="K176" s="21">
        <f t="shared" si="42"/>
        <v>0.97394740105631572</v>
      </c>
      <c r="L176" s="21">
        <f t="shared" si="43"/>
        <v>0.97394740105631572</v>
      </c>
      <c r="M176" s="21">
        <f t="shared" si="44"/>
        <v>0.97394740105631572</v>
      </c>
      <c r="N176" s="21">
        <f t="shared" si="45"/>
        <v>0.98039621807813626</v>
      </c>
      <c r="O176" s="21">
        <f t="shared" si="46"/>
        <v>0.98039621807813626</v>
      </c>
      <c r="P176" s="21">
        <f t="shared" si="47"/>
        <v>0.98039621807813626</v>
      </c>
      <c r="Q176" s="21">
        <f t="shared" si="48"/>
        <v>0.98428598608414275</v>
      </c>
      <c r="R176" s="21">
        <f t="shared" si="49"/>
        <v>0.98428598608414275</v>
      </c>
      <c r="S176" s="21">
        <f t="shared" si="50"/>
        <v>0.98428598608414275</v>
      </c>
      <c r="T176" s="21">
        <f t="shared" si="51"/>
        <v>0.98688773477853886</v>
      </c>
      <c r="U176" s="21">
        <f t="shared" si="52"/>
        <v>0.98688773477853886</v>
      </c>
      <c r="V176" s="21">
        <f t="shared" si="53"/>
        <v>0.98688773477853886</v>
      </c>
    </row>
    <row r="177" spans="1:22" x14ac:dyDescent="0.25">
      <c r="A177" t="str">
        <f>Tabelle2!A193</f>
        <v xml:space="preserve"> Overseer </v>
      </c>
      <c r="B177">
        <f>Tabelle2!$N193+(B$11*Tabelle2!$O193)</f>
        <v>2600</v>
      </c>
      <c r="C177">
        <f>Tabelle2!$N193+(C$11*Tabelle2!$O193)</f>
        <v>2600</v>
      </c>
      <c r="D177">
        <f>Tabelle2!$N193+(D$11*Tabelle2!$O193)</f>
        <v>2600</v>
      </c>
      <c r="E177" s="21">
        <f t="shared" si="36"/>
        <v>0.92386073401750668</v>
      </c>
      <c r="F177" s="21">
        <f t="shared" si="37"/>
        <v>0.92386073401750668</v>
      </c>
      <c r="G177" s="21">
        <f t="shared" si="38"/>
        <v>0.92386073401750668</v>
      </c>
      <c r="H177" s="21">
        <f t="shared" si="39"/>
        <v>0.96117674442191259</v>
      </c>
      <c r="I177" s="21">
        <f t="shared" si="40"/>
        <v>0.96117674442191259</v>
      </c>
      <c r="J177" s="21">
        <f t="shared" si="41"/>
        <v>0.96117674442191259</v>
      </c>
      <c r="K177" s="21">
        <f t="shared" si="42"/>
        <v>0.97394740105631572</v>
      </c>
      <c r="L177" s="21">
        <f t="shared" si="43"/>
        <v>0.97394740105631572</v>
      </c>
      <c r="M177" s="21">
        <f t="shared" si="44"/>
        <v>0.97394740105631572</v>
      </c>
      <c r="N177" s="21">
        <f t="shared" si="45"/>
        <v>0.98039621807813626</v>
      </c>
      <c r="O177" s="21">
        <f t="shared" si="46"/>
        <v>0.98039621807813626</v>
      </c>
      <c r="P177" s="21">
        <f t="shared" si="47"/>
        <v>0.98039621807813626</v>
      </c>
      <c r="Q177" s="21">
        <f t="shared" si="48"/>
        <v>0.98428598608414275</v>
      </c>
      <c r="R177" s="21">
        <f t="shared" si="49"/>
        <v>0.98428598608414275</v>
      </c>
      <c r="S177" s="21">
        <f t="shared" si="50"/>
        <v>0.98428598608414275</v>
      </c>
      <c r="T177" s="21">
        <f t="shared" si="51"/>
        <v>0.98688773477853886</v>
      </c>
      <c r="U177" s="21">
        <f t="shared" si="52"/>
        <v>0.98688773477853886</v>
      </c>
      <c r="V177" s="21">
        <f t="shared" si="53"/>
        <v>0.98688773477853886</v>
      </c>
    </row>
    <row r="178" spans="1:22" x14ac:dyDescent="0.25">
      <c r="A178" t="str">
        <f>Tabelle2!A194</f>
        <v xml:space="preserve"> Oviraptor</v>
      </c>
      <c r="B178">
        <f>Tabelle2!$N194+(B$11*Tabelle2!$O194)</f>
        <v>990</v>
      </c>
      <c r="C178">
        <f>Tabelle2!$N194+(C$11*Tabelle2!$O194)</f>
        <v>5400</v>
      </c>
      <c r="D178">
        <f>Tabelle2!$N194+(D$11*Tabelle2!$O194)</f>
        <v>14400</v>
      </c>
      <c r="E178" s="21">
        <f t="shared" si="36"/>
        <v>0.97029549931369152</v>
      </c>
      <c r="F178" s="21">
        <f t="shared" si="37"/>
        <v>0.84833496064878156</v>
      </c>
      <c r="G178" s="21">
        <f t="shared" si="38"/>
        <v>0.64493058522770197</v>
      </c>
      <c r="H178" s="21">
        <f t="shared" si="39"/>
        <v>0.98503578580358775</v>
      </c>
      <c r="I178" s="21">
        <f t="shared" si="40"/>
        <v>0.92105100871166823</v>
      </c>
      <c r="J178" s="21">
        <f t="shared" si="41"/>
        <v>0.80307570329807754</v>
      </c>
      <c r="K178" s="21">
        <f t="shared" si="42"/>
        <v>0.98999880941042806</v>
      </c>
      <c r="L178" s="21">
        <f t="shared" si="43"/>
        <v>0.94664930782047341</v>
      </c>
      <c r="M178" s="21">
        <f t="shared" si="44"/>
        <v>0.86398126371643491</v>
      </c>
      <c r="N178" s="21">
        <f t="shared" si="45"/>
        <v>0.99248969052760827</v>
      </c>
      <c r="O178" s="21">
        <f t="shared" si="46"/>
        <v>0.9597140244425254</v>
      </c>
      <c r="P178" s="21">
        <f t="shared" si="47"/>
        <v>0.89614491199698143</v>
      </c>
      <c r="Q178" s="21">
        <f t="shared" si="48"/>
        <v>0.99398722643020432</v>
      </c>
      <c r="R178" s="21">
        <f t="shared" si="49"/>
        <v>0.96763924293887171</v>
      </c>
      <c r="S178" s="21">
        <f t="shared" si="50"/>
        <v>0.91601501954800979</v>
      </c>
      <c r="T178" s="21">
        <f t="shared" si="51"/>
        <v>0.99498683881266892</v>
      </c>
      <c r="U178" s="21">
        <f t="shared" si="52"/>
        <v>0.9729590473501305</v>
      </c>
      <c r="V178" s="21">
        <f t="shared" si="53"/>
        <v>0.92950592451927649</v>
      </c>
    </row>
    <row r="179" spans="1:22" x14ac:dyDescent="0.25">
      <c r="A179" t="str">
        <f>Tabelle2!A195</f>
        <v xml:space="preserve"> Ovis</v>
      </c>
      <c r="B179">
        <f>Tabelle2!$N195+(B$11*Tabelle2!$O195)</f>
        <v>1320</v>
      </c>
      <c r="C179">
        <f>Tabelle2!$N195+(C$11*Tabelle2!$O195)</f>
        <v>7200</v>
      </c>
      <c r="D179">
        <f>Tabelle2!$N195+(D$11*Tabelle2!$O195)</f>
        <v>19200</v>
      </c>
      <c r="E179" s="21">
        <f t="shared" si="36"/>
        <v>0.96059138909685149</v>
      </c>
      <c r="F179" s="21">
        <f t="shared" si="37"/>
        <v>0.80307570329807754</v>
      </c>
      <c r="G179" s="21">
        <f t="shared" si="38"/>
        <v>0.55720794203440982</v>
      </c>
      <c r="H179" s="21">
        <f t="shared" si="39"/>
        <v>0.98009764263406507</v>
      </c>
      <c r="I179" s="21">
        <f t="shared" si="40"/>
        <v>0.89614491199698143</v>
      </c>
      <c r="J179" s="21">
        <f t="shared" si="41"/>
        <v>0.74646362405304778</v>
      </c>
      <c r="K179" s="21">
        <f t="shared" si="42"/>
        <v>0.98668735633527116</v>
      </c>
      <c r="L179" s="21">
        <f t="shared" si="43"/>
        <v>0.92950592451927649</v>
      </c>
      <c r="M179" s="21">
        <f t="shared" si="44"/>
        <v>0.82288491182931811</v>
      </c>
      <c r="N179" s="21">
        <f t="shared" si="45"/>
        <v>0.98999880941042806</v>
      </c>
      <c r="O179" s="21">
        <f t="shared" si="46"/>
        <v>0.94664930782047341</v>
      </c>
      <c r="P179" s="21">
        <f t="shared" si="47"/>
        <v>0.86398126371643491</v>
      </c>
      <c r="Q179" s="21">
        <f t="shared" si="48"/>
        <v>0.9919910134346358</v>
      </c>
      <c r="R179" s="21">
        <f t="shared" si="49"/>
        <v>0.95708673564521296</v>
      </c>
      <c r="S179" s="21">
        <f t="shared" si="50"/>
        <v>0.88961779106104</v>
      </c>
      <c r="T179" s="21">
        <f t="shared" si="51"/>
        <v>0.99332137615943372</v>
      </c>
      <c r="U179" s="21">
        <f t="shared" si="52"/>
        <v>0.9641088758637566</v>
      </c>
      <c r="V179" s="21">
        <f t="shared" si="53"/>
        <v>0.90713004130020858</v>
      </c>
    </row>
    <row r="180" spans="1:22" x14ac:dyDescent="0.25">
      <c r="A180" t="str">
        <f>Tabelle2!A196</f>
        <v xml:space="preserve"> Pachy</v>
      </c>
      <c r="B180">
        <f>Tabelle2!$N196+(B$11*Tabelle2!$O196)</f>
        <v>1320</v>
      </c>
      <c r="C180">
        <f>Tabelle2!$N196+(C$11*Tabelle2!$O196)</f>
        <v>7200</v>
      </c>
      <c r="D180">
        <f>Tabelle2!$N196+(D$11*Tabelle2!$O196)</f>
        <v>19200</v>
      </c>
      <c r="E180" s="21">
        <f t="shared" si="36"/>
        <v>0.96059138909685149</v>
      </c>
      <c r="F180" s="21">
        <f t="shared" si="37"/>
        <v>0.80307570329807754</v>
      </c>
      <c r="G180" s="21">
        <f t="shared" si="38"/>
        <v>0.55720794203440982</v>
      </c>
      <c r="H180" s="21">
        <f t="shared" si="39"/>
        <v>0.98009764263406507</v>
      </c>
      <c r="I180" s="21">
        <f t="shared" si="40"/>
        <v>0.89614491199698143</v>
      </c>
      <c r="J180" s="21">
        <f t="shared" si="41"/>
        <v>0.74646362405304778</v>
      </c>
      <c r="K180" s="21">
        <f t="shared" si="42"/>
        <v>0.98668735633527116</v>
      </c>
      <c r="L180" s="21">
        <f t="shared" si="43"/>
        <v>0.92950592451927649</v>
      </c>
      <c r="M180" s="21">
        <f t="shared" si="44"/>
        <v>0.82288491182931811</v>
      </c>
      <c r="N180" s="21">
        <f t="shared" si="45"/>
        <v>0.98999880941042806</v>
      </c>
      <c r="O180" s="21">
        <f t="shared" si="46"/>
        <v>0.94664930782047341</v>
      </c>
      <c r="P180" s="21">
        <f t="shared" si="47"/>
        <v>0.86398126371643491</v>
      </c>
      <c r="Q180" s="21">
        <f t="shared" si="48"/>
        <v>0.9919910134346358</v>
      </c>
      <c r="R180" s="21">
        <f t="shared" si="49"/>
        <v>0.95708673564521296</v>
      </c>
      <c r="S180" s="21">
        <f t="shared" si="50"/>
        <v>0.88961779106104</v>
      </c>
      <c r="T180" s="21">
        <f t="shared" si="51"/>
        <v>0.99332137615943372</v>
      </c>
      <c r="U180" s="21">
        <f t="shared" si="52"/>
        <v>0.9641088758637566</v>
      </c>
      <c r="V180" s="21">
        <f t="shared" si="53"/>
        <v>0.90713004130020858</v>
      </c>
    </row>
    <row r="181" spans="1:22" x14ac:dyDescent="0.25">
      <c r="A181" t="str">
        <f>Tabelle2!A197</f>
        <v xml:space="preserve"> Pachyrhinosaurus</v>
      </c>
      <c r="B181">
        <f>Tabelle2!$N197+(B$11*Tabelle2!$O197)</f>
        <v>3300</v>
      </c>
      <c r="C181">
        <f>Tabelle2!$N197+(C$11*Tabelle2!$O197)</f>
        <v>18000</v>
      </c>
      <c r="D181">
        <f>Tabelle2!$N197+(D$11*Tabelle2!$O197)</f>
        <v>48000</v>
      </c>
      <c r="E181" s="21">
        <f t="shared" si="36"/>
        <v>0.90437119882657746</v>
      </c>
      <c r="F181" s="21">
        <f t="shared" si="37"/>
        <v>0.57795126254304086</v>
      </c>
      <c r="G181" s="21">
        <f t="shared" si="38"/>
        <v>0.2317625415532017</v>
      </c>
      <c r="H181" s="21">
        <f t="shared" si="39"/>
        <v>0.9509843315357922</v>
      </c>
      <c r="I181" s="21">
        <f t="shared" si="40"/>
        <v>0.76023105865456508</v>
      </c>
      <c r="J181" s="21">
        <f t="shared" si="41"/>
        <v>0.48141722191172354</v>
      </c>
      <c r="K181" s="21">
        <f t="shared" si="42"/>
        <v>0.96704995196103694</v>
      </c>
      <c r="L181" s="21">
        <f t="shared" si="43"/>
        <v>0.83297200492899992</v>
      </c>
      <c r="M181" s="21">
        <f t="shared" si="44"/>
        <v>0.61425365346268557</v>
      </c>
      <c r="N181" s="21">
        <f t="shared" si="45"/>
        <v>0.9751842551722173</v>
      </c>
      <c r="O181" s="21">
        <f t="shared" si="46"/>
        <v>0.87191229986424956</v>
      </c>
      <c r="P181" s="21">
        <f t="shared" si="47"/>
        <v>0.69384236099543783</v>
      </c>
      <c r="Q181" s="21">
        <f t="shared" si="48"/>
        <v>0.98009764263406507</v>
      </c>
      <c r="R181" s="21">
        <f t="shared" si="49"/>
        <v>0.89614491199698143</v>
      </c>
      <c r="S181" s="21">
        <f t="shared" si="50"/>
        <v>0.74646362405304778</v>
      </c>
      <c r="T181" s="21">
        <f t="shared" si="51"/>
        <v>0.9833869797597673</v>
      </c>
      <c r="U181" s="21">
        <f t="shared" si="52"/>
        <v>0.91267299999999996</v>
      </c>
      <c r="V181" s="21">
        <f t="shared" si="53"/>
        <v>0.78374335943769602</v>
      </c>
    </row>
    <row r="182" spans="1:22" x14ac:dyDescent="0.25">
      <c r="A182" t="str">
        <f>Tabelle2!A198</f>
        <v xml:space="preserve"> Paraceratherium</v>
      </c>
      <c r="B182">
        <f>Tabelle2!$N198+(B$11*Tabelle2!$O198)</f>
        <v>7150</v>
      </c>
      <c r="C182">
        <f>Tabelle2!$N198+(C$11*Tabelle2!$O198)</f>
        <v>39000</v>
      </c>
      <c r="D182">
        <f>Tabelle2!$N198+(D$11*Tabelle2!$O198)</f>
        <v>104000</v>
      </c>
      <c r="E182" s="21">
        <f t="shared" si="36"/>
        <v>0.80429968757491133</v>
      </c>
      <c r="F182" s="21">
        <f t="shared" si="37"/>
        <v>0.30485802824652852</v>
      </c>
      <c r="G182" s="21">
        <f t="shared" si="38"/>
        <v>4.2097893363829686E-2</v>
      </c>
      <c r="H182" s="21">
        <f t="shared" si="39"/>
        <v>0.89682756847395773</v>
      </c>
      <c r="I182" s="21">
        <f t="shared" si="40"/>
        <v>0.55213950071202866</v>
      </c>
      <c r="J182" s="21">
        <f t="shared" si="41"/>
        <v>0.20517771166437568</v>
      </c>
      <c r="K182" s="21">
        <f t="shared" si="42"/>
        <v>0.92997791120886431</v>
      </c>
      <c r="L182" s="21">
        <f t="shared" si="43"/>
        <v>0.67302709016557472</v>
      </c>
      <c r="M182" s="21">
        <f t="shared" si="44"/>
        <v>0.34787251838439232</v>
      </c>
      <c r="N182" s="21">
        <f t="shared" si="45"/>
        <v>0.94700980378978006</v>
      </c>
      <c r="O182" s="21">
        <f t="shared" si="46"/>
        <v>0.74306089973300893</v>
      </c>
      <c r="P182" s="21">
        <f t="shared" si="47"/>
        <v>0.45296546409674071</v>
      </c>
      <c r="Q182" s="21">
        <f t="shared" si="48"/>
        <v>0.95737830108183819</v>
      </c>
      <c r="R182" s="21">
        <f t="shared" si="49"/>
        <v>0.78853237189986969</v>
      </c>
      <c r="S182" s="21">
        <f t="shared" si="50"/>
        <v>0.53070364776112799</v>
      </c>
      <c r="T182" s="21">
        <f t="shared" si="51"/>
        <v>0.96435362352659015</v>
      </c>
      <c r="U182" s="21">
        <f t="shared" si="52"/>
        <v>0.82038228294227233</v>
      </c>
      <c r="V182" s="21">
        <f t="shared" si="53"/>
        <v>0.58980718746416805</v>
      </c>
    </row>
    <row r="183" spans="1:22" x14ac:dyDescent="0.25">
      <c r="A183" t="str">
        <f>Tabelle2!A199</f>
        <v xml:space="preserve"> Parasaur</v>
      </c>
      <c r="B183">
        <f>Tabelle2!$N199+(B$11*Tabelle2!$O199)</f>
        <v>1650</v>
      </c>
      <c r="C183">
        <f>Tabelle2!$N199+(C$11*Tabelle2!$O199)</f>
        <v>9000</v>
      </c>
      <c r="D183">
        <f>Tabelle2!$N199+(D$11*Tabelle2!$O199)</f>
        <v>24000</v>
      </c>
      <c r="E183" s="21">
        <f t="shared" si="36"/>
        <v>0.9509843315357922</v>
      </c>
      <c r="F183" s="21">
        <f t="shared" si="37"/>
        <v>0.76023105865456508</v>
      </c>
      <c r="G183" s="21">
        <f t="shared" si="38"/>
        <v>0.48141722191172354</v>
      </c>
      <c r="H183" s="21">
        <f t="shared" si="39"/>
        <v>0.9751842551722173</v>
      </c>
      <c r="I183" s="21">
        <f t="shared" si="40"/>
        <v>0.87191229986424956</v>
      </c>
      <c r="J183" s="21">
        <f t="shared" si="41"/>
        <v>0.69384236099543783</v>
      </c>
      <c r="K183" s="21">
        <f t="shared" si="42"/>
        <v>0.9833869797597673</v>
      </c>
      <c r="L183" s="21">
        <f t="shared" si="43"/>
        <v>0.91267299999999996</v>
      </c>
      <c r="M183" s="21">
        <f t="shared" si="44"/>
        <v>0.78374335943769602</v>
      </c>
      <c r="N183" s="21">
        <f t="shared" si="45"/>
        <v>0.9875141797322291</v>
      </c>
      <c r="O183" s="21">
        <f t="shared" si="46"/>
        <v>0.93376244295015931</v>
      </c>
      <c r="P183" s="21">
        <f t="shared" si="47"/>
        <v>0.83297200492899992</v>
      </c>
      <c r="Q183" s="21">
        <f t="shared" si="48"/>
        <v>0.98999880941042806</v>
      </c>
      <c r="R183" s="21">
        <f t="shared" si="49"/>
        <v>0.94664930782047341</v>
      </c>
      <c r="S183" s="21">
        <f t="shared" si="50"/>
        <v>0.86398126371643491</v>
      </c>
      <c r="T183" s="21">
        <f t="shared" si="51"/>
        <v>0.99165870124744393</v>
      </c>
      <c r="U183" s="21">
        <f t="shared" si="52"/>
        <v>0.95533920677422213</v>
      </c>
      <c r="V183" s="21">
        <f t="shared" si="53"/>
        <v>0.88529280999999993</v>
      </c>
    </row>
    <row r="184" spans="1:22" x14ac:dyDescent="0.25">
      <c r="A184" t="str">
        <f>Tabelle2!A200</f>
        <v xml:space="preserve"> Pegomastax</v>
      </c>
      <c r="B184">
        <f>Tabelle2!$N200+(B$11*Tabelle2!$O200)</f>
        <v>495</v>
      </c>
      <c r="C184">
        <f>Tabelle2!$N200+(C$11*Tabelle2!$O200)</f>
        <v>2700</v>
      </c>
      <c r="D184">
        <f>Tabelle2!$N200+(D$11*Tabelle2!$O200)</f>
        <v>7200</v>
      </c>
      <c r="E184" s="21">
        <f t="shared" si="36"/>
        <v>0.98503578580358775</v>
      </c>
      <c r="F184" s="21">
        <f t="shared" si="37"/>
        <v>0.92105100871166823</v>
      </c>
      <c r="G184" s="21">
        <f t="shared" si="38"/>
        <v>0.80307570329807754</v>
      </c>
      <c r="H184" s="21">
        <f t="shared" si="39"/>
        <v>0.99248969052760827</v>
      </c>
      <c r="I184" s="21">
        <f t="shared" si="40"/>
        <v>0.9597140244425254</v>
      </c>
      <c r="J184" s="21">
        <f t="shared" si="41"/>
        <v>0.89614491199698143</v>
      </c>
      <c r="K184" s="21">
        <f t="shared" si="42"/>
        <v>0.99498683881266892</v>
      </c>
      <c r="L184" s="21">
        <f t="shared" si="43"/>
        <v>0.9729590473501305</v>
      </c>
      <c r="M184" s="21">
        <f t="shared" si="44"/>
        <v>0.92950592451927649</v>
      </c>
      <c r="N184" s="21">
        <f t="shared" si="45"/>
        <v>0.99623776806925379</v>
      </c>
      <c r="O184" s="21">
        <f t="shared" si="46"/>
        <v>0.97964994995280097</v>
      </c>
      <c r="P184" s="21">
        <f t="shared" si="47"/>
        <v>0.94664930782047341</v>
      </c>
      <c r="Q184" s="21">
        <f t="shared" si="48"/>
        <v>0.99698908039667333</v>
      </c>
      <c r="R184" s="21">
        <f t="shared" si="49"/>
        <v>0.98368655726246035</v>
      </c>
      <c r="S184" s="21">
        <f t="shared" si="50"/>
        <v>0.95708673564521296</v>
      </c>
      <c r="T184" s="21">
        <f t="shared" si="51"/>
        <v>0.99749027003408353</v>
      </c>
      <c r="U184" s="21">
        <f t="shared" si="52"/>
        <v>0.98638686495214978</v>
      </c>
      <c r="V184" s="21">
        <f t="shared" si="53"/>
        <v>0.9641088758637566</v>
      </c>
    </row>
    <row r="185" spans="1:22" x14ac:dyDescent="0.25">
      <c r="A185" t="str">
        <f>Tabelle2!A201</f>
        <v xml:space="preserve"> Pelagornis</v>
      </c>
      <c r="B185">
        <f>Tabelle2!$N201+(B$11*Tabelle2!$O201)</f>
        <v>1320</v>
      </c>
      <c r="C185">
        <f>Tabelle2!$N201+(C$11*Tabelle2!$O201)</f>
        <v>7200</v>
      </c>
      <c r="D185">
        <f>Tabelle2!$N201+(D$11*Tabelle2!$O201)</f>
        <v>19200</v>
      </c>
      <c r="E185" s="21">
        <f t="shared" si="36"/>
        <v>0.96059138909685149</v>
      </c>
      <c r="F185" s="21">
        <f t="shared" si="37"/>
        <v>0.80307570329807754</v>
      </c>
      <c r="G185" s="21">
        <f t="shared" si="38"/>
        <v>0.55720794203440982</v>
      </c>
      <c r="H185" s="21">
        <f t="shared" si="39"/>
        <v>0.98009764263406507</v>
      </c>
      <c r="I185" s="21">
        <f t="shared" si="40"/>
        <v>0.89614491199698143</v>
      </c>
      <c r="J185" s="21">
        <f t="shared" si="41"/>
        <v>0.74646362405304778</v>
      </c>
      <c r="K185" s="21">
        <f t="shared" si="42"/>
        <v>0.98668735633527116</v>
      </c>
      <c r="L185" s="21">
        <f t="shared" si="43"/>
        <v>0.92950592451927649</v>
      </c>
      <c r="M185" s="21">
        <f t="shared" si="44"/>
        <v>0.82288491182931811</v>
      </c>
      <c r="N185" s="21">
        <f t="shared" si="45"/>
        <v>0.98999880941042806</v>
      </c>
      <c r="O185" s="21">
        <f t="shared" si="46"/>
        <v>0.94664930782047341</v>
      </c>
      <c r="P185" s="21">
        <f t="shared" si="47"/>
        <v>0.86398126371643491</v>
      </c>
      <c r="Q185" s="21">
        <f t="shared" si="48"/>
        <v>0.9919910134346358</v>
      </c>
      <c r="R185" s="21">
        <f t="shared" si="49"/>
        <v>0.95708673564521296</v>
      </c>
      <c r="S185" s="21">
        <f t="shared" si="50"/>
        <v>0.88961779106104</v>
      </c>
      <c r="T185" s="21">
        <f t="shared" si="51"/>
        <v>0.99332137615943372</v>
      </c>
      <c r="U185" s="21">
        <f t="shared" si="52"/>
        <v>0.9641088758637566</v>
      </c>
      <c r="V185" s="21">
        <f t="shared" si="53"/>
        <v>0.90713004130020858</v>
      </c>
    </row>
    <row r="186" spans="1:22" x14ac:dyDescent="0.25">
      <c r="A186" t="str">
        <f>Tabelle2!A202</f>
        <v xml:space="preserve"> Phiomia</v>
      </c>
      <c r="B186">
        <f>Tabelle2!$N202+(B$11*Tabelle2!$O202)</f>
        <v>3300</v>
      </c>
      <c r="C186">
        <f>Tabelle2!$N202+(C$11*Tabelle2!$O202)</f>
        <v>18000</v>
      </c>
      <c r="D186">
        <f>Tabelle2!$N202+(D$11*Tabelle2!$O202)</f>
        <v>48000</v>
      </c>
      <c r="E186" s="21">
        <f t="shared" si="36"/>
        <v>0.90437119882657746</v>
      </c>
      <c r="F186" s="21">
        <f t="shared" si="37"/>
        <v>0.57795126254304086</v>
      </c>
      <c r="G186" s="21">
        <f t="shared" si="38"/>
        <v>0.2317625415532017</v>
      </c>
      <c r="H186" s="21">
        <f t="shared" si="39"/>
        <v>0.9509843315357922</v>
      </c>
      <c r="I186" s="21">
        <f t="shared" si="40"/>
        <v>0.76023105865456508</v>
      </c>
      <c r="J186" s="21">
        <f t="shared" si="41"/>
        <v>0.48141722191172354</v>
      </c>
      <c r="K186" s="21">
        <f t="shared" si="42"/>
        <v>0.96704995196103694</v>
      </c>
      <c r="L186" s="21">
        <f t="shared" si="43"/>
        <v>0.83297200492899992</v>
      </c>
      <c r="M186" s="21">
        <f t="shared" si="44"/>
        <v>0.61425365346268557</v>
      </c>
      <c r="N186" s="21">
        <f t="shared" si="45"/>
        <v>0.9751842551722173</v>
      </c>
      <c r="O186" s="21">
        <f t="shared" si="46"/>
        <v>0.87191229986424956</v>
      </c>
      <c r="P186" s="21">
        <f t="shared" si="47"/>
        <v>0.69384236099543783</v>
      </c>
      <c r="Q186" s="21">
        <f t="shared" si="48"/>
        <v>0.98009764263406507</v>
      </c>
      <c r="R186" s="21">
        <f t="shared" si="49"/>
        <v>0.89614491199698143</v>
      </c>
      <c r="S186" s="21">
        <f t="shared" si="50"/>
        <v>0.74646362405304778</v>
      </c>
      <c r="T186" s="21">
        <f t="shared" si="51"/>
        <v>0.9833869797597673</v>
      </c>
      <c r="U186" s="21">
        <f t="shared" si="52"/>
        <v>0.91267299999999996</v>
      </c>
      <c r="V186" s="21">
        <f t="shared" si="53"/>
        <v>0.78374335943769602</v>
      </c>
    </row>
    <row r="187" spans="1:22" x14ac:dyDescent="0.25">
      <c r="A187" t="str">
        <f>Tabelle2!A203</f>
        <v xml:space="preserve"> Phoenix</v>
      </c>
      <c r="B187">
        <f>Tabelle2!$N203+(B$11*Tabelle2!$O203)</f>
        <v>1650</v>
      </c>
      <c r="C187">
        <f>Tabelle2!$N203+(C$11*Tabelle2!$O203)</f>
        <v>9000</v>
      </c>
      <c r="D187">
        <f>Tabelle2!$N203+(D$11*Tabelle2!$O203)</f>
        <v>24000</v>
      </c>
      <c r="E187" s="21">
        <f t="shared" si="36"/>
        <v>0.9509843315357922</v>
      </c>
      <c r="F187" s="21">
        <f t="shared" si="37"/>
        <v>0.76023105865456508</v>
      </c>
      <c r="G187" s="21">
        <f t="shared" si="38"/>
        <v>0.48141722191172354</v>
      </c>
      <c r="H187" s="21">
        <f t="shared" si="39"/>
        <v>0.9751842551722173</v>
      </c>
      <c r="I187" s="21">
        <f t="shared" si="40"/>
        <v>0.87191229986424956</v>
      </c>
      <c r="J187" s="21">
        <f t="shared" si="41"/>
        <v>0.69384236099543783</v>
      </c>
      <c r="K187" s="21">
        <f t="shared" si="42"/>
        <v>0.9833869797597673</v>
      </c>
      <c r="L187" s="21">
        <f t="shared" si="43"/>
        <v>0.91267299999999996</v>
      </c>
      <c r="M187" s="21">
        <f t="shared" si="44"/>
        <v>0.78374335943769602</v>
      </c>
      <c r="N187" s="21">
        <f t="shared" si="45"/>
        <v>0.9875141797322291</v>
      </c>
      <c r="O187" s="21">
        <f t="shared" si="46"/>
        <v>0.93376244295015931</v>
      </c>
      <c r="P187" s="21">
        <f t="shared" si="47"/>
        <v>0.83297200492899992</v>
      </c>
      <c r="Q187" s="21">
        <f t="shared" si="48"/>
        <v>0.98999880941042806</v>
      </c>
      <c r="R187" s="21">
        <f t="shared" si="49"/>
        <v>0.94664930782047341</v>
      </c>
      <c r="S187" s="21">
        <f t="shared" si="50"/>
        <v>0.86398126371643491</v>
      </c>
      <c r="T187" s="21">
        <f t="shared" si="51"/>
        <v>0.99165870124744393</v>
      </c>
      <c r="U187" s="21">
        <f t="shared" si="52"/>
        <v>0.95533920677422213</v>
      </c>
      <c r="V187" s="21">
        <f t="shared" si="53"/>
        <v>0.88529280999999993</v>
      </c>
    </row>
    <row r="188" spans="1:22" x14ac:dyDescent="0.25">
      <c r="A188" t="str">
        <f>Tabelle2!A204</f>
        <v xml:space="preserve"> Plesiosaur</v>
      </c>
      <c r="B188">
        <f>Tabelle2!$N204+(B$11*Tabelle2!$O204)</f>
        <v>5500</v>
      </c>
      <c r="C188">
        <f>Tabelle2!$N204+(C$11*Tabelle2!$O204)</f>
        <v>30000</v>
      </c>
      <c r="D188">
        <f>Tabelle2!$N204+(D$11*Tabelle2!$O204)</f>
        <v>80000</v>
      </c>
      <c r="E188" s="21">
        <f t="shared" si="36"/>
        <v>0.84575493086832199</v>
      </c>
      <c r="F188" s="21">
        <f t="shared" si="37"/>
        <v>0.4010070685431576</v>
      </c>
      <c r="G188" s="21">
        <f t="shared" si="38"/>
        <v>8.7445756918827236E-2</v>
      </c>
      <c r="H188" s="21">
        <f t="shared" si="39"/>
        <v>0.91964935212738663</v>
      </c>
      <c r="I188" s="21">
        <f t="shared" si="40"/>
        <v>0.63325118913678924</v>
      </c>
      <c r="J188" s="21">
        <f t="shared" si="41"/>
        <v>0.29571228739913263</v>
      </c>
      <c r="K188" s="21">
        <f t="shared" si="42"/>
        <v>0.94568865599181473</v>
      </c>
      <c r="L188" s="21">
        <f t="shared" si="43"/>
        <v>0.7374241268949282</v>
      </c>
      <c r="M188" s="21">
        <f t="shared" si="44"/>
        <v>0.44386024352917858</v>
      </c>
      <c r="N188" s="21">
        <f t="shared" si="45"/>
        <v>0.95898349940308492</v>
      </c>
      <c r="O188" s="21">
        <f t="shared" si="46"/>
        <v>0.79577081445400422</v>
      </c>
      <c r="P188" s="21">
        <f t="shared" si="47"/>
        <v>0.54379434292674711</v>
      </c>
      <c r="Q188" s="21">
        <f t="shared" si="48"/>
        <v>0.96704995196103694</v>
      </c>
      <c r="R188" s="21">
        <f t="shared" si="49"/>
        <v>0.83297200492899992</v>
      </c>
      <c r="S188" s="21">
        <f t="shared" si="50"/>
        <v>0.61425365346268557</v>
      </c>
      <c r="T188" s="21">
        <f t="shared" si="51"/>
        <v>0.97246524667558931</v>
      </c>
      <c r="U188" s="21">
        <f t="shared" si="52"/>
        <v>0.8587340256999999</v>
      </c>
      <c r="V188" s="21">
        <f t="shared" si="53"/>
        <v>0.66622837190349271</v>
      </c>
    </row>
    <row r="189" spans="1:22" x14ac:dyDescent="0.25">
      <c r="A189" t="str">
        <f>Tabelle2!A205</f>
        <v xml:space="preserve"> Procoptodon</v>
      </c>
      <c r="B189">
        <f>Tabelle2!$N205+(B$11*Tabelle2!$O205)</f>
        <v>1650</v>
      </c>
      <c r="C189">
        <f>Tabelle2!$N205+(C$11*Tabelle2!$O205)</f>
        <v>9000</v>
      </c>
      <c r="D189">
        <f>Tabelle2!$N205+(D$11*Tabelle2!$O205)</f>
        <v>24000</v>
      </c>
      <c r="E189" s="21">
        <f t="shared" si="36"/>
        <v>0.9509843315357922</v>
      </c>
      <c r="F189" s="21">
        <f t="shared" si="37"/>
        <v>0.76023105865456508</v>
      </c>
      <c r="G189" s="21">
        <f t="shared" si="38"/>
        <v>0.48141722191172354</v>
      </c>
      <c r="H189" s="21">
        <f t="shared" si="39"/>
        <v>0.9751842551722173</v>
      </c>
      <c r="I189" s="21">
        <f t="shared" si="40"/>
        <v>0.87191229986424956</v>
      </c>
      <c r="J189" s="21">
        <f t="shared" si="41"/>
        <v>0.69384236099543783</v>
      </c>
      <c r="K189" s="21">
        <f t="shared" si="42"/>
        <v>0.9833869797597673</v>
      </c>
      <c r="L189" s="21">
        <f t="shared" si="43"/>
        <v>0.91267299999999996</v>
      </c>
      <c r="M189" s="21">
        <f t="shared" si="44"/>
        <v>0.78374335943769602</v>
      </c>
      <c r="N189" s="21">
        <f t="shared" si="45"/>
        <v>0.9875141797322291</v>
      </c>
      <c r="O189" s="21">
        <f t="shared" si="46"/>
        <v>0.93376244295015931</v>
      </c>
      <c r="P189" s="21">
        <f t="shared" si="47"/>
        <v>0.83297200492899992</v>
      </c>
      <c r="Q189" s="21">
        <f t="shared" si="48"/>
        <v>0.98999880941042806</v>
      </c>
      <c r="R189" s="21">
        <f t="shared" si="49"/>
        <v>0.94664930782047341</v>
      </c>
      <c r="S189" s="21">
        <f t="shared" si="50"/>
        <v>0.86398126371643491</v>
      </c>
      <c r="T189" s="21">
        <f t="shared" si="51"/>
        <v>0.99165870124744393</v>
      </c>
      <c r="U189" s="21">
        <f t="shared" si="52"/>
        <v>0.95533920677422213</v>
      </c>
      <c r="V189" s="21">
        <f t="shared" si="53"/>
        <v>0.88529280999999993</v>
      </c>
    </row>
    <row r="190" spans="1:22" x14ac:dyDescent="0.25">
      <c r="A190" t="str">
        <f>Tabelle2!A206</f>
        <v xml:space="preserve"> Pteranodon</v>
      </c>
      <c r="B190">
        <f>Tabelle2!$N206+(B$11*Tabelle2!$O206)</f>
        <v>1320</v>
      </c>
      <c r="C190">
        <f>Tabelle2!$N206+(C$11*Tabelle2!$O206)</f>
        <v>7200</v>
      </c>
      <c r="D190">
        <f>Tabelle2!$N206+(D$11*Tabelle2!$O206)</f>
        <v>19200</v>
      </c>
      <c r="E190" s="21">
        <f t="shared" si="36"/>
        <v>0.96059138909685149</v>
      </c>
      <c r="F190" s="21">
        <f t="shared" si="37"/>
        <v>0.80307570329807754</v>
      </c>
      <c r="G190" s="21">
        <f t="shared" si="38"/>
        <v>0.55720794203440982</v>
      </c>
      <c r="H190" s="21">
        <f t="shared" si="39"/>
        <v>0.98009764263406507</v>
      </c>
      <c r="I190" s="21">
        <f t="shared" si="40"/>
        <v>0.89614491199698143</v>
      </c>
      <c r="J190" s="21">
        <f t="shared" si="41"/>
        <v>0.74646362405304778</v>
      </c>
      <c r="K190" s="21">
        <f t="shared" si="42"/>
        <v>0.98668735633527116</v>
      </c>
      <c r="L190" s="21">
        <f t="shared" si="43"/>
        <v>0.92950592451927649</v>
      </c>
      <c r="M190" s="21">
        <f t="shared" si="44"/>
        <v>0.82288491182931811</v>
      </c>
      <c r="N190" s="21">
        <f t="shared" si="45"/>
        <v>0.98999880941042806</v>
      </c>
      <c r="O190" s="21">
        <f t="shared" si="46"/>
        <v>0.94664930782047341</v>
      </c>
      <c r="P190" s="21">
        <f t="shared" si="47"/>
        <v>0.86398126371643491</v>
      </c>
      <c r="Q190" s="21">
        <f t="shared" si="48"/>
        <v>0.9919910134346358</v>
      </c>
      <c r="R190" s="21">
        <f t="shared" si="49"/>
        <v>0.95708673564521296</v>
      </c>
      <c r="S190" s="21">
        <f t="shared" si="50"/>
        <v>0.88961779106104</v>
      </c>
      <c r="T190" s="21">
        <f t="shared" si="51"/>
        <v>0.99332137615943372</v>
      </c>
      <c r="U190" s="21">
        <f t="shared" si="52"/>
        <v>0.9641088758637566</v>
      </c>
      <c r="V190" s="21">
        <f t="shared" si="53"/>
        <v>0.90713004130020858</v>
      </c>
    </row>
    <row r="191" spans="1:22" x14ac:dyDescent="0.25">
      <c r="A191" t="str">
        <f>Tabelle2!A207</f>
        <v xml:space="preserve"> Pulmonoscorpius</v>
      </c>
      <c r="B191">
        <f>Tabelle2!$N207+(B$11*Tabelle2!$O207)</f>
        <v>1650</v>
      </c>
      <c r="C191">
        <f>Tabelle2!$N207+(C$11*Tabelle2!$O207)</f>
        <v>9000</v>
      </c>
      <c r="D191">
        <f>Tabelle2!$N207+(D$11*Tabelle2!$O207)</f>
        <v>24000</v>
      </c>
      <c r="E191" s="21">
        <f t="shared" si="36"/>
        <v>0.9509843315357922</v>
      </c>
      <c r="F191" s="21">
        <f t="shared" si="37"/>
        <v>0.76023105865456508</v>
      </c>
      <c r="G191" s="21">
        <f t="shared" si="38"/>
        <v>0.48141722191172354</v>
      </c>
      <c r="H191" s="21">
        <f t="shared" si="39"/>
        <v>0.9751842551722173</v>
      </c>
      <c r="I191" s="21">
        <f t="shared" si="40"/>
        <v>0.87191229986424956</v>
      </c>
      <c r="J191" s="21">
        <f t="shared" si="41"/>
        <v>0.69384236099543783</v>
      </c>
      <c r="K191" s="21">
        <f t="shared" si="42"/>
        <v>0.9833869797597673</v>
      </c>
      <c r="L191" s="21">
        <f t="shared" si="43"/>
        <v>0.91267299999999996</v>
      </c>
      <c r="M191" s="21">
        <f t="shared" si="44"/>
        <v>0.78374335943769602</v>
      </c>
      <c r="N191" s="21">
        <f t="shared" si="45"/>
        <v>0.9875141797322291</v>
      </c>
      <c r="O191" s="21">
        <f t="shared" si="46"/>
        <v>0.93376244295015931</v>
      </c>
      <c r="P191" s="21">
        <f t="shared" si="47"/>
        <v>0.83297200492899992</v>
      </c>
      <c r="Q191" s="21">
        <f t="shared" si="48"/>
        <v>0.98999880941042806</v>
      </c>
      <c r="R191" s="21">
        <f t="shared" si="49"/>
        <v>0.94664930782047341</v>
      </c>
      <c r="S191" s="21">
        <f t="shared" si="50"/>
        <v>0.86398126371643491</v>
      </c>
      <c r="T191" s="21">
        <f t="shared" si="51"/>
        <v>0.99165870124744393</v>
      </c>
      <c r="U191" s="21">
        <f t="shared" si="52"/>
        <v>0.95533920677422213</v>
      </c>
      <c r="V191" s="21">
        <f t="shared" si="53"/>
        <v>0.88529280999999993</v>
      </c>
    </row>
    <row r="192" spans="1:22" x14ac:dyDescent="0.25">
      <c r="A192" t="str">
        <f>Tabelle2!A208</f>
        <v xml:space="preserve"> Purlovia</v>
      </c>
      <c r="B192">
        <f>Tabelle2!$N208+(B$11*Tabelle2!$O208)</f>
        <v>4400</v>
      </c>
      <c r="C192">
        <f>Tabelle2!$N208+(C$11*Tabelle2!$O208)</f>
        <v>24000</v>
      </c>
      <c r="D192">
        <f>Tabelle2!$N208+(D$11*Tabelle2!$O208)</f>
        <v>64000</v>
      </c>
      <c r="E192" s="21">
        <f t="shared" si="36"/>
        <v>0.87457212438018717</v>
      </c>
      <c r="F192" s="21">
        <f t="shared" si="37"/>
        <v>0.48141722191172354</v>
      </c>
      <c r="G192" s="21">
        <f t="shared" si="38"/>
        <v>0.14236098788485163</v>
      </c>
      <c r="H192" s="21">
        <f t="shared" si="39"/>
        <v>0.93518560958784391</v>
      </c>
      <c r="I192" s="21">
        <f t="shared" si="40"/>
        <v>0.69384236099543783</v>
      </c>
      <c r="J192" s="21">
        <f t="shared" si="41"/>
        <v>0.37730755079225703</v>
      </c>
      <c r="K192" s="21">
        <f t="shared" si="42"/>
        <v>0.95630966184964483</v>
      </c>
      <c r="L192" s="21">
        <f t="shared" si="43"/>
        <v>0.78374335943769602</v>
      </c>
      <c r="M192" s="21">
        <f t="shared" si="44"/>
        <v>0.5221520623483501</v>
      </c>
      <c r="N192" s="21">
        <f t="shared" si="45"/>
        <v>0.96704995196103694</v>
      </c>
      <c r="O192" s="21">
        <f t="shared" si="46"/>
        <v>0.83297200492899992</v>
      </c>
      <c r="P192" s="21">
        <f t="shared" si="47"/>
        <v>0.61425365346268557</v>
      </c>
      <c r="Q192" s="21">
        <f t="shared" si="48"/>
        <v>0.97355193915188631</v>
      </c>
      <c r="R192" s="21">
        <f t="shared" si="49"/>
        <v>0.86398126371643491</v>
      </c>
      <c r="S192" s="21">
        <f t="shared" si="50"/>
        <v>0.67713957811634451</v>
      </c>
      <c r="T192" s="21">
        <f t="shared" si="51"/>
        <v>0.97791086600448651</v>
      </c>
      <c r="U192" s="21">
        <f t="shared" si="52"/>
        <v>0.88529280999999993</v>
      </c>
      <c r="V192" s="21">
        <f t="shared" si="53"/>
        <v>0.72260090115384579</v>
      </c>
    </row>
    <row r="193" spans="1:22" x14ac:dyDescent="0.25">
      <c r="A193" t="str">
        <f>Tabelle2!A209</f>
        <v xml:space="preserve"> Pyromane</v>
      </c>
      <c r="B193">
        <f>Tabelle2!$N209+(B$11*Tabelle2!$O209)</f>
        <v>1100</v>
      </c>
      <c r="C193">
        <f>Tabelle2!$N209+(C$11*Tabelle2!$O209)</f>
        <v>6000</v>
      </c>
      <c r="D193">
        <f>Tabelle2!$N209+(D$11*Tabelle2!$O209)</f>
        <v>16000</v>
      </c>
      <c r="E193" s="21">
        <f t="shared" si="36"/>
        <v>0.96704995196103694</v>
      </c>
      <c r="F193" s="21">
        <f t="shared" si="37"/>
        <v>0.83297200492899992</v>
      </c>
      <c r="G193" s="21">
        <f t="shared" si="38"/>
        <v>0.61425365346268557</v>
      </c>
      <c r="H193" s="21">
        <f t="shared" si="39"/>
        <v>0.9833869797597673</v>
      </c>
      <c r="I193" s="21">
        <f t="shared" si="40"/>
        <v>0.91267299999999996</v>
      </c>
      <c r="J193" s="21">
        <f t="shared" si="41"/>
        <v>0.78374335943769602</v>
      </c>
      <c r="K193" s="21">
        <f t="shared" si="42"/>
        <v>0.98889375870438512</v>
      </c>
      <c r="L193" s="21">
        <f t="shared" si="43"/>
        <v>0.94089999999999996</v>
      </c>
      <c r="M193" s="21">
        <f t="shared" si="44"/>
        <v>0.850059351547788</v>
      </c>
      <c r="N193" s="21">
        <f t="shared" si="45"/>
        <v>0.99165870124744393</v>
      </c>
      <c r="O193" s="21">
        <f t="shared" si="46"/>
        <v>0.95533920677422213</v>
      </c>
      <c r="P193" s="21">
        <f t="shared" si="47"/>
        <v>0.88529280999999993</v>
      </c>
      <c r="Q193" s="21">
        <f t="shared" si="48"/>
        <v>0.99332137615943372</v>
      </c>
      <c r="R193" s="21">
        <f t="shared" si="49"/>
        <v>0.9641088758637566</v>
      </c>
      <c r="S193" s="21">
        <f t="shared" si="50"/>
        <v>0.90713004130020858</v>
      </c>
      <c r="T193" s="21">
        <f t="shared" si="51"/>
        <v>0.99443137455753328</v>
      </c>
      <c r="U193" s="21">
        <f t="shared" si="52"/>
        <v>0.97</v>
      </c>
      <c r="V193" s="21">
        <f t="shared" si="53"/>
        <v>0.92198663306351036</v>
      </c>
    </row>
    <row r="194" spans="1:22" x14ac:dyDescent="0.25">
      <c r="A194" t="str">
        <f>Tabelle2!A210</f>
        <v xml:space="preserve"> Quetzal</v>
      </c>
      <c r="B194">
        <f>Tabelle2!$N210+(B$11*Tabelle2!$O210)</f>
        <v>1320</v>
      </c>
      <c r="C194">
        <f>Tabelle2!$N210+(C$11*Tabelle2!$O210)</f>
        <v>7200</v>
      </c>
      <c r="D194">
        <f>Tabelle2!$N210+(D$11*Tabelle2!$O210)</f>
        <v>19200</v>
      </c>
      <c r="E194" s="21">
        <f t="shared" si="36"/>
        <v>0.96059138909685149</v>
      </c>
      <c r="F194" s="21">
        <f t="shared" si="37"/>
        <v>0.80307570329807754</v>
      </c>
      <c r="G194" s="21">
        <f t="shared" si="38"/>
        <v>0.55720794203440982</v>
      </c>
      <c r="H194" s="21">
        <f t="shared" si="39"/>
        <v>0.98009764263406507</v>
      </c>
      <c r="I194" s="21">
        <f t="shared" si="40"/>
        <v>0.89614491199698143</v>
      </c>
      <c r="J194" s="21">
        <f t="shared" si="41"/>
        <v>0.74646362405304778</v>
      </c>
      <c r="K194" s="21">
        <f t="shared" si="42"/>
        <v>0.98668735633527116</v>
      </c>
      <c r="L194" s="21">
        <f t="shared" si="43"/>
        <v>0.92950592451927649</v>
      </c>
      <c r="M194" s="21">
        <f t="shared" si="44"/>
        <v>0.82288491182931811</v>
      </c>
      <c r="N194" s="21">
        <f t="shared" si="45"/>
        <v>0.98999880941042806</v>
      </c>
      <c r="O194" s="21">
        <f t="shared" si="46"/>
        <v>0.94664930782047341</v>
      </c>
      <c r="P194" s="21">
        <f t="shared" si="47"/>
        <v>0.86398126371643491</v>
      </c>
      <c r="Q194" s="21">
        <f t="shared" si="48"/>
        <v>0.9919910134346358</v>
      </c>
      <c r="R194" s="21">
        <f t="shared" si="49"/>
        <v>0.95708673564521296</v>
      </c>
      <c r="S194" s="21">
        <f t="shared" si="50"/>
        <v>0.88961779106104</v>
      </c>
      <c r="T194" s="21">
        <f t="shared" si="51"/>
        <v>0.99332137615943372</v>
      </c>
      <c r="U194" s="21">
        <f t="shared" si="52"/>
        <v>0.9641088758637566</v>
      </c>
      <c r="V194" s="21">
        <f t="shared" si="53"/>
        <v>0.90713004130020858</v>
      </c>
    </row>
    <row r="195" spans="1:22" x14ac:dyDescent="0.25">
      <c r="A195" t="str">
        <f>Tabelle2!A211</f>
        <v xml:space="preserve"> Raptor</v>
      </c>
      <c r="B195">
        <f>Tabelle2!$N211+(B$11*Tabelle2!$O211)</f>
        <v>1320</v>
      </c>
      <c r="C195">
        <f>Tabelle2!$N211+(C$11*Tabelle2!$O211)</f>
        <v>7200</v>
      </c>
      <c r="D195">
        <f>Tabelle2!$N211+(D$11*Tabelle2!$O211)</f>
        <v>19200</v>
      </c>
      <c r="E195" s="21">
        <f t="shared" si="36"/>
        <v>0.96059138909685149</v>
      </c>
      <c r="F195" s="21">
        <f t="shared" si="37"/>
        <v>0.80307570329807754</v>
      </c>
      <c r="G195" s="21">
        <f t="shared" si="38"/>
        <v>0.55720794203440982</v>
      </c>
      <c r="H195" s="21">
        <f t="shared" si="39"/>
        <v>0.98009764263406507</v>
      </c>
      <c r="I195" s="21">
        <f t="shared" si="40"/>
        <v>0.89614491199698143</v>
      </c>
      <c r="J195" s="21">
        <f t="shared" si="41"/>
        <v>0.74646362405304778</v>
      </c>
      <c r="K195" s="21">
        <f t="shared" si="42"/>
        <v>0.98668735633527116</v>
      </c>
      <c r="L195" s="21">
        <f t="shared" si="43"/>
        <v>0.92950592451927649</v>
      </c>
      <c r="M195" s="21">
        <f t="shared" si="44"/>
        <v>0.82288491182931811</v>
      </c>
      <c r="N195" s="21">
        <f t="shared" si="45"/>
        <v>0.98999880941042806</v>
      </c>
      <c r="O195" s="21">
        <f t="shared" si="46"/>
        <v>0.94664930782047341</v>
      </c>
      <c r="P195" s="21">
        <f t="shared" si="47"/>
        <v>0.86398126371643491</v>
      </c>
      <c r="Q195" s="21">
        <f t="shared" si="48"/>
        <v>0.9919910134346358</v>
      </c>
      <c r="R195" s="21">
        <f t="shared" si="49"/>
        <v>0.95708673564521296</v>
      </c>
      <c r="S195" s="21">
        <f t="shared" si="50"/>
        <v>0.88961779106104</v>
      </c>
      <c r="T195" s="21">
        <f t="shared" si="51"/>
        <v>0.99332137615943372</v>
      </c>
      <c r="U195" s="21">
        <f t="shared" si="52"/>
        <v>0.9641088758637566</v>
      </c>
      <c r="V195" s="21">
        <f t="shared" si="53"/>
        <v>0.90713004130020858</v>
      </c>
    </row>
    <row r="196" spans="1:22" x14ac:dyDescent="0.25">
      <c r="A196" t="str">
        <f>Tabelle2!A212</f>
        <v xml:space="preserve"> Ravager</v>
      </c>
      <c r="B196">
        <f>Tabelle2!$N212+(B$11*Tabelle2!$O212)</f>
        <v>1320</v>
      </c>
      <c r="C196">
        <f>Tabelle2!$N212+(C$11*Tabelle2!$O212)</f>
        <v>7200</v>
      </c>
      <c r="D196">
        <f>Tabelle2!$N212+(D$11*Tabelle2!$O212)</f>
        <v>19200</v>
      </c>
      <c r="E196" s="21">
        <f t="shared" si="36"/>
        <v>0.96059138909685149</v>
      </c>
      <c r="F196" s="21">
        <f t="shared" si="37"/>
        <v>0.80307570329807754</v>
      </c>
      <c r="G196" s="21">
        <f t="shared" si="38"/>
        <v>0.55720794203440982</v>
      </c>
      <c r="H196" s="21">
        <f t="shared" si="39"/>
        <v>0.98009764263406507</v>
      </c>
      <c r="I196" s="21">
        <f t="shared" si="40"/>
        <v>0.89614491199698143</v>
      </c>
      <c r="J196" s="21">
        <f t="shared" si="41"/>
        <v>0.74646362405304778</v>
      </c>
      <c r="K196" s="21">
        <f t="shared" si="42"/>
        <v>0.98668735633527116</v>
      </c>
      <c r="L196" s="21">
        <f t="shared" si="43"/>
        <v>0.92950592451927649</v>
      </c>
      <c r="M196" s="21">
        <f t="shared" si="44"/>
        <v>0.82288491182931811</v>
      </c>
      <c r="N196" s="21">
        <f t="shared" si="45"/>
        <v>0.98999880941042806</v>
      </c>
      <c r="O196" s="21">
        <f t="shared" si="46"/>
        <v>0.94664930782047341</v>
      </c>
      <c r="P196" s="21">
        <f t="shared" si="47"/>
        <v>0.86398126371643491</v>
      </c>
      <c r="Q196" s="21">
        <f t="shared" si="48"/>
        <v>0.9919910134346358</v>
      </c>
      <c r="R196" s="21">
        <f t="shared" si="49"/>
        <v>0.95708673564521296</v>
      </c>
      <c r="S196" s="21">
        <f t="shared" si="50"/>
        <v>0.88961779106104</v>
      </c>
      <c r="T196" s="21">
        <f t="shared" si="51"/>
        <v>0.99332137615943372</v>
      </c>
      <c r="U196" s="21">
        <f t="shared" si="52"/>
        <v>0.9641088758637566</v>
      </c>
      <c r="V196" s="21">
        <f t="shared" si="53"/>
        <v>0.90713004130020858</v>
      </c>
    </row>
    <row r="197" spans="1:22" x14ac:dyDescent="0.25">
      <c r="A197" t="str">
        <f>Tabelle2!A213</f>
        <v xml:space="preserve"> Reaper</v>
      </c>
      <c r="B197">
        <f>Tabelle2!$N213+(B$11*Tabelle2!$O213)</f>
        <v>3300</v>
      </c>
      <c r="C197">
        <f>Tabelle2!$N213+(C$11*Tabelle2!$O213)</f>
        <v>18000</v>
      </c>
      <c r="D197">
        <f>Tabelle2!$N213+(D$11*Tabelle2!$O213)</f>
        <v>48000</v>
      </c>
      <c r="E197" s="21">
        <f t="shared" si="36"/>
        <v>0.90437119882657746</v>
      </c>
      <c r="F197" s="21">
        <f t="shared" si="37"/>
        <v>0.57795126254304086</v>
      </c>
      <c r="G197" s="21">
        <f t="shared" si="38"/>
        <v>0.2317625415532017</v>
      </c>
      <c r="H197" s="21">
        <f t="shared" si="39"/>
        <v>0.9509843315357922</v>
      </c>
      <c r="I197" s="21">
        <f t="shared" si="40"/>
        <v>0.76023105865456508</v>
      </c>
      <c r="J197" s="21">
        <f t="shared" si="41"/>
        <v>0.48141722191172354</v>
      </c>
      <c r="K197" s="21">
        <f t="shared" si="42"/>
        <v>0.96704995196103694</v>
      </c>
      <c r="L197" s="21">
        <f t="shared" si="43"/>
        <v>0.83297200492899992</v>
      </c>
      <c r="M197" s="21">
        <f t="shared" si="44"/>
        <v>0.61425365346268557</v>
      </c>
      <c r="N197" s="21">
        <f t="shared" si="45"/>
        <v>0.9751842551722173</v>
      </c>
      <c r="O197" s="21">
        <f t="shared" si="46"/>
        <v>0.87191229986424956</v>
      </c>
      <c r="P197" s="21">
        <f t="shared" si="47"/>
        <v>0.69384236099543783</v>
      </c>
      <c r="Q197" s="21">
        <f t="shared" si="48"/>
        <v>0.98009764263406507</v>
      </c>
      <c r="R197" s="21">
        <f t="shared" si="49"/>
        <v>0.89614491199698143</v>
      </c>
      <c r="S197" s="21">
        <f t="shared" si="50"/>
        <v>0.74646362405304778</v>
      </c>
      <c r="T197" s="21">
        <f t="shared" si="51"/>
        <v>0.9833869797597673</v>
      </c>
      <c r="U197" s="21">
        <f t="shared" si="52"/>
        <v>0.91267299999999996</v>
      </c>
      <c r="V197" s="21">
        <f t="shared" si="53"/>
        <v>0.78374335943769602</v>
      </c>
    </row>
    <row r="198" spans="1:22" x14ac:dyDescent="0.25">
      <c r="A198" t="str">
        <f>Tabelle2!A214</f>
        <v xml:space="preserve"> Rex</v>
      </c>
      <c r="B198">
        <f>Tabelle2!$N214+(B$11*Tabelle2!$O214)</f>
        <v>3300</v>
      </c>
      <c r="C198">
        <f>Tabelle2!$N214+(C$11*Tabelle2!$O214)</f>
        <v>18000</v>
      </c>
      <c r="D198">
        <f>Tabelle2!$N214+(D$11*Tabelle2!$O214)</f>
        <v>48000</v>
      </c>
      <c r="E198" s="21">
        <f t="shared" si="36"/>
        <v>0.90437119882657746</v>
      </c>
      <c r="F198" s="21">
        <f t="shared" si="37"/>
        <v>0.57795126254304086</v>
      </c>
      <c r="G198" s="21">
        <f t="shared" si="38"/>
        <v>0.2317625415532017</v>
      </c>
      <c r="H198" s="21">
        <f t="shared" si="39"/>
        <v>0.9509843315357922</v>
      </c>
      <c r="I198" s="21">
        <f t="shared" si="40"/>
        <v>0.76023105865456508</v>
      </c>
      <c r="J198" s="21">
        <f t="shared" si="41"/>
        <v>0.48141722191172354</v>
      </c>
      <c r="K198" s="21">
        <f t="shared" si="42"/>
        <v>0.96704995196103694</v>
      </c>
      <c r="L198" s="21">
        <f t="shared" si="43"/>
        <v>0.83297200492899992</v>
      </c>
      <c r="M198" s="21">
        <f t="shared" si="44"/>
        <v>0.61425365346268557</v>
      </c>
      <c r="N198" s="21">
        <f t="shared" si="45"/>
        <v>0.9751842551722173</v>
      </c>
      <c r="O198" s="21">
        <f t="shared" si="46"/>
        <v>0.87191229986424956</v>
      </c>
      <c r="P198" s="21">
        <f t="shared" si="47"/>
        <v>0.69384236099543783</v>
      </c>
      <c r="Q198" s="21">
        <f t="shared" si="48"/>
        <v>0.98009764263406507</v>
      </c>
      <c r="R198" s="21">
        <f t="shared" si="49"/>
        <v>0.89614491199698143</v>
      </c>
      <c r="S198" s="21">
        <f t="shared" si="50"/>
        <v>0.74646362405304778</v>
      </c>
      <c r="T198" s="21">
        <f t="shared" si="51"/>
        <v>0.9833869797597673</v>
      </c>
      <c r="U198" s="21">
        <f t="shared" si="52"/>
        <v>0.91267299999999996</v>
      </c>
      <c r="V198" s="21">
        <f t="shared" si="53"/>
        <v>0.78374335943769602</v>
      </c>
    </row>
    <row r="199" spans="1:22" x14ac:dyDescent="0.25">
      <c r="A199" t="str">
        <f>Tabelle2!A215</f>
        <v xml:space="preserve"> Rhyniognatha</v>
      </c>
      <c r="B199">
        <f>Tabelle2!$N215+(B$11*Tabelle2!$O215)</f>
        <v>2024</v>
      </c>
      <c r="C199">
        <f>Tabelle2!$N215+(C$11*Tabelle2!$O215)</f>
        <v>11040</v>
      </c>
      <c r="D199">
        <f>Tabelle2!$N215+(D$11*Tabelle2!$O215)</f>
        <v>29440</v>
      </c>
      <c r="E199" s="21">
        <f t="shared" si="36"/>
        <v>0.94021243370357621</v>
      </c>
      <c r="F199" s="21">
        <f t="shared" si="37"/>
        <v>0.71443043322282695</v>
      </c>
      <c r="G199" s="21">
        <f t="shared" si="38"/>
        <v>0.40790577766247932</v>
      </c>
      <c r="H199" s="21">
        <f t="shared" si="39"/>
        <v>0.96964551961197454</v>
      </c>
      <c r="I199" s="21">
        <f t="shared" si="40"/>
        <v>0.84523986727013001</v>
      </c>
      <c r="J199" s="21">
        <f t="shared" si="41"/>
        <v>0.63867501725249853</v>
      </c>
      <c r="K199" s="21">
        <f t="shared" si="42"/>
        <v>0.97965989645699059</v>
      </c>
      <c r="L199" s="21">
        <f t="shared" si="43"/>
        <v>0.89396390124565039</v>
      </c>
      <c r="M199" s="21">
        <f t="shared" si="44"/>
        <v>0.74162885518941113</v>
      </c>
      <c r="N199" s="21">
        <f t="shared" si="45"/>
        <v>0.98470580358398141</v>
      </c>
      <c r="O199" s="21">
        <f t="shared" si="46"/>
        <v>0.91936927687960623</v>
      </c>
      <c r="P199" s="21">
        <f t="shared" si="47"/>
        <v>0.79917145673034307</v>
      </c>
      <c r="Q199" s="21">
        <f t="shared" si="48"/>
        <v>0.98774581441905995</v>
      </c>
      <c r="R199" s="21">
        <f t="shared" si="49"/>
        <v>0.93495775724962471</v>
      </c>
      <c r="S199" s="21">
        <f t="shared" si="50"/>
        <v>0.83581848417075832</v>
      </c>
      <c r="T199" s="21">
        <f t="shared" si="51"/>
        <v>0.9897777005252193</v>
      </c>
      <c r="U199" s="21">
        <f t="shared" si="52"/>
        <v>0.94549664264113087</v>
      </c>
      <c r="V199" s="21">
        <f t="shared" si="53"/>
        <v>0.86117875913738784</v>
      </c>
    </row>
    <row r="200" spans="1:22" x14ac:dyDescent="0.25">
      <c r="A200" t="str">
        <f>Tabelle2!A216</f>
        <v xml:space="preserve"> Rock Drake</v>
      </c>
      <c r="B200">
        <f>Tabelle2!$N216+(B$11*Tabelle2!$O216)</f>
        <v>2200</v>
      </c>
      <c r="C200">
        <f>Tabelle2!$N216+(C$11*Tabelle2!$O216)</f>
        <v>12000</v>
      </c>
      <c r="D200">
        <f>Tabelle2!$N216+(D$11*Tabelle2!$O216)</f>
        <v>32000</v>
      </c>
      <c r="E200" s="21">
        <f t="shared" si="36"/>
        <v>0.93518560958784391</v>
      </c>
      <c r="F200" s="21">
        <f t="shared" si="37"/>
        <v>0.69384236099543783</v>
      </c>
      <c r="G200" s="21">
        <f t="shared" si="38"/>
        <v>0.37730755079225703</v>
      </c>
      <c r="H200" s="21">
        <f t="shared" si="39"/>
        <v>0.96704995196103694</v>
      </c>
      <c r="I200" s="21">
        <f t="shared" si="40"/>
        <v>0.83297200492899992</v>
      </c>
      <c r="J200" s="21">
        <f t="shared" si="41"/>
        <v>0.61425365346268557</v>
      </c>
      <c r="K200" s="21">
        <f t="shared" si="42"/>
        <v>0.97791086600448651</v>
      </c>
      <c r="L200" s="21">
        <f t="shared" si="43"/>
        <v>0.88529280999999993</v>
      </c>
      <c r="M200" s="21">
        <f t="shared" si="44"/>
        <v>0.72260090115384579</v>
      </c>
      <c r="N200" s="21">
        <f t="shared" si="45"/>
        <v>0.9833869797597673</v>
      </c>
      <c r="O200" s="21">
        <f t="shared" si="46"/>
        <v>0.91267299999999996</v>
      </c>
      <c r="P200" s="21">
        <f t="shared" si="47"/>
        <v>0.78374335943769602</v>
      </c>
      <c r="Q200" s="21">
        <f t="shared" si="48"/>
        <v>0.98668735633527116</v>
      </c>
      <c r="R200" s="21">
        <f t="shared" si="49"/>
        <v>0.92950592451927649</v>
      </c>
      <c r="S200" s="21">
        <f t="shared" si="50"/>
        <v>0.82288491182931811</v>
      </c>
      <c r="T200" s="21">
        <f t="shared" si="51"/>
        <v>0.98889375870438512</v>
      </c>
      <c r="U200" s="21">
        <f t="shared" si="52"/>
        <v>0.94089999999999996</v>
      </c>
      <c r="V200" s="21">
        <f t="shared" si="53"/>
        <v>0.850059351547788</v>
      </c>
    </row>
    <row r="201" spans="1:22" x14ac:dyDescent="0.25">
      <c r="A201" t="str">
        <f>Tabelle2!A217</f>
        <v xml:space="preserve"> Rock Elemental</v>
      </c>
      <c r="B201">
        <f>Tabelle2!$N217+(B$11*Tabelle2!$O217)</f>
        <v>6600</v>
      </c>
      <c r="C201">
        <f>Tabelle2!$N217+(C$11*Tabelle2!$O217)</f>
        <v>36000</v>
      </c>
      <c r="D201">
        <f>Tabelle2!$N217+(D$11*Tabelle2!$O217)</f>
        <v>96000</v>
      </c>
      <c r="E201" s="21">
        <f t="shared" si="36"/>
        <v>0.81788726526702094</v>
      </c>
      <c r="F201" s="21">
        <f t="shared" si="37"/>
        <v>0.33402766187509492</v>
      </c>
      <c r="G201" s="21">
        <f t="shared" si="38"/>
        <v>5.3713875667199547E-2</v>
      </c>
      <c r="H201" s="21">
        <f t="shared" si="39"/>
        <v>0.90437119882657746</v>
      </c>
      <c r="I201" s="21">
        <f t="shared" si="40"/>
        <v>0.57795126254304086</v>
      </c>
      <c r="J201" s="21">
        <f t="shared" si="41"/>
        <v>0.2317625415532017</v>
      </c>
      <c r="K201" s="21">
        <f t="shared" si="42"/>
        <v>0.93518560958784391</v>
      </c>
      <c r="L201" s="21">
        <f t="shared" si="43"/>
        <v>0.69384236099543783</v>
      </c>
      <c r="M201" s="21">
        <f t="shared" si="44"/>
        <v>0.37730755079225703</v>
      </c>
      <c r="N201" s="21">
        <f t="shared" si="45"/>
        <v>0.9509843315357922</v>
      </c>
      <c r="O201" s="21">
        <f t="shared" si="46"/>
        <v>0.76023105865456508</v>
      </c>
      <c r="P201" s="21">
        <f t="shared" si="47"/>
        <v>0.48141722191172354</v>
      </c>
      <c r="Q201" s="21">
        <f t="shared" si="48"/>
        <v>0.96059138909685149</v>
      </c>
      <c r="R201" s="21">
        <f t="shared" si="49"/>
        <v>0.80307570329807754</v>
      </c>
      <c r="S201" s="21">
        <f t="shared" si="50"/>
        <v>0.55720794203440982</v>
      </c>
      <c r="T201" s="21">
        <f t="shared" si="51"/>
        <v>0.96704995196103694</v>
      </c>
      <c r="U201" s="21">
        <f t="shared" si="52"/>
        <v>0.83297200492899992</v>
      </c>
      <c r="V201" s="21">
        <f t="shared" si="53"/>
        <v>0.61425365346268557</v>
      </c>
    </row>
    <row r="202" spans="1:22" x14ac:dyDescent="0.25">
      <c r="A202" t="str">
        <f>Tabelle2!A218</f>
        <v xml:space="preserve"> Rockwell </v>
      </c>
      <c r="B202">
        <f>Tabelle2!$N218+(B$11*Tabelle2!$O218)</f>
        <v>2600</v>
      </c>
      <c r="C202">
        <f>Tabelle2!$N218+(C$11*Tabelle2!$O218)</f>
        <v>2600</v>
      </c>
      <c r="D202">
        <f>Tabelle2!$N218+(D$11*Tabelle2!$O218)</f>
        <v>2600</v>
      </c>
      <c r="E202" s="21">
        <f t="shared" si="36"/>
        <v>0.92386073401750668</v>
      </c>
      <c r="F202" s="21">
        <f t="shared" si="37"/>
        <v>0.92386073401750668</v>
      </c>
      <c r="G202" s="21">
        <f t="shared" si="38"/>
        <v>0.92386073401750668</v>
      </c>
      <c r="H202" s="21">
        <f t="shared" si="39"/>
        <v>0.96117674442191259</v>
      </c>
      <c r="I202" s="21">
        <f t="shared" si="40"/>
        <v>0.96117674442191259</v>
      </c>
      <c r="J202" s="21">
        <f t="shared" si="41"/>
        <v>0.96117674442191259</v>
      </c>
      <c r="K202" s="21">
        <f t="shared" si="42"/>
        <v>0.97394740105631572</v>
      </c>
      <c r="L202" s="21">
        <f t="shared" si="43"/>
        <v>0.97394740105631572</v>
      </c>
      <c r="M202" s="21">
        <f t="shared" si="44"/>
        <v>0.97394740105631572</v>
      </c>
      <c r="N202" s="21">
        <f t="shared" si="45"/>
        <v>0.98039621807813626</v>
      </c>
      <c r="O202" s="21">
        <f t="shared" si="46"/>
        <v>0.98039621807813626</v>
      </c>
      <c r="P202" s="21">
        <f t="shared" si="47"/>
        <v>0.98039621807813626</v>
      </c>
      <c r="Q202" s="21">
        <f t="shared" si="48"/>
        <v>0.98428598608414275</v>
      </c>
      <c r="R202" s="21">
        <f t="shared" si="49"/>
        <v>0.98428598608414275</v>
      </c>
      <c r="S202" s="21">
        <f t="shared" si="50"/>
        <v>0.98428598608414275</v>
      </c>
      <c r="T202" s="21">
        <f t="shared" si="51"/>
        <v>0.98688773477853886</v>
      </c>
      <c r="U202" s="21">
        <f t="shared" si="52"/>
        <v>0.98688773477853886</v>
      </c>
      <c r="V202" s="21">
        <f t="shared" si="53"/>
        <v>0.98688773477853886</v>
      </c>
    </row>
    <row r="203" spans="1:22" x14ac:dyDescent="0.25">
      <c r="A203" t="str">
        <f>Tabelle2!A219</f>
        <v xml:space="preserve"> Rockwell </v>
      </c>
      <c r="B203">
        <f>Tabelle2!$N219+(B$11*Tabelle2!$O219)</f>
        <v>2600</v>
      </c>
      <c r="C203">
        <f>Tabelle2!$N219+(C$11*Tabelle2!$O219)</f>
        <v>2600</v>
      </c>
      <c r="D203">
        <f>Tabelle2!$N219+(D$11*Tabelle2!$O219)</f>
        <v>2600</v>
      </c>
      <c r="E203" s="21">
        <f t="shared" si="36"/>
        <v>0.92386073401750668</v>
      </c>
      <c r="F203" s="21">
        <f t="shared" si="37"/>
        <v>0.92386073401750668</v>
      </c>
      <c r="G203" s="21">
        <f t="shared" si="38"/>
        <v>0.92386073401750668</v>
      </c>
      <c r="H203" s="21">
        <f t="shared" si="39"/>
        <v>0.96117674442191259</v>
      </c>
      <c r="I203" s="21">
        <f t="shared" si="40"/>
        <v>0.96117674442191259</v>
      </c>
      <c r="J203" s="21">
        <f t="shared" si="41"/>
        <v>0.96117674442191259</v>
      </c>
      <c r="K203" s="21">
        <f t="shared" si="42"/>
        <v>0.97394740105631572</v>
      </c>
      <c r="L203" s="21">
        <f t="shared" si="43"/>
        <v>0.97394740105631572</v>
      </c>
      <c r="M203" s="21">
        <f t="shared" si="44"/>
        <v>0.97394740105631572</v>
      </c>
      <c r="N203" s="21">
        <f t="shared" si="45"/>
        <v>0.98039621807813626</v>
      </c>
      <c r="O203" s="21">
        <f t="shared" si="46"/>
        <v>0.98039621807813626</v>
      </c>
      <c r="P203" s="21">
        <f t="shared" si="47"/>
        <v>0.98039621807813626</v>
      </c>
      <c r="Q203" s="21">
        <f t="shared" si="48"/>
        <v>0.98428598608414275</v>
      </c>
      <c r="R203" s="21">
        <f t="shared" si="49"/>
        <v>0.98428598608414275</v>
      </c>
      <c r="S203" s="21">
        <f t="shared" si="50"/>
        <v>0.98428598608414275</v>
      </c>
      <c r="T203" s="21">
        <f t="shared" si="51"/>
        <v>0.98688773477853886</v>
      </c>
      <c r="U203" s="21">
        <f t="shared" si="52"/>
        <v>0.98688773477853886</v>
      </c>
      <c r="V203" s="21">
        <f t="shared" si="53"/>
        <v>0.98688773477853886</v>
      </c>
    </row>
    <row r="204" spans="1:22" x14ac:dyDescent="0.25">
      <c r="A204" t="str">
        <f>Tabelle2!A220</f>
        <v xml:space="preserve"> Rockwell </v>
      </c>
      <c r="B204">
        <f>Tabelle2!$N220+(B$11*Tabelle2!$O220)</f>
        <v>2600</v>
      </c>
      <c r="C204">
        <f>Tabelle2!$N220+(C$11*Tabelle2!$O220)</f>
        <v>2600</v>
      </c>
      <c r="D204">
        <f>Tabelle2!$N220+(D$11*Tabelle2!$O220)</f>
        <v>2600</v>
      </c>
      <c r="E204" s="21">
        <f t="shared" si="36"/>
        <v>0.92386073401750668</v>
      </c>
      <c r="F204" s="21">
        <f t="shared" si="37"/>
        <v>0.92386073401750668</v>
      </c>
      <c r="G204" s="21">
        <f t="shared" si="38"/>
        <v>0.92386073401750668</v>
      </c>
      <c r="H204" s="21">
        <f t="shared" si="39"/>
        <v>0.96117674442191259</v>
      </c>
      <c r="I204" s="21">
        <f t="shared" si="40"/>
        <v>0.96117674442191259</v>
      </c>
      <c r="J204" s="21">
        <f t="shared" si="41"/>
        <v>0.96117674442191259</v>
      </c>
      <c r="K204" s="21">
        <f t="shared" si="42"/>
        <v>0.97394740105631572</v>
      </c>
      <c r="L204" s="21">
        <f t="shared" si="43"/>
        <v>0.97394740105631572</v>
      </c>
      <c r="M204" s="21">
        <f t="shared" si="44"/>
        <v>0.97394740105631572</v>
      </c>
      <c r="N204" s="21">
        <f t="shared" si="45"/>
        <v>0.98039621807813626</v>
      </c>
      <c r="O204" s="21">
        <f t="shared" si="46"/>
        <v>0.98039621807813626</v>
      </c>
      <c r="P204" s="21">
        <f t="shared" si="47"/>
        <v>0.98039621807813626</v>
      </c>
      <c r="Q204" s="21">
        <f t="shared" si="48"/>
        <v>0.98428598608414275</v>
      </c>
      <c r="R204" s="21">
        <f t="shared" si="49"/>
        <v>0.98428598608414275</v>
      </c>
      <c r="S204" s="21">
        <f t="shared" si="50"/>
        <v>0.98428598608414275</v>
      </c>
      <c r="T204" s="21">
        <f t="shared" si="51"/>
        <v>0.98688773477853886</v>
      </c>
      <c r="U204" s="21">
        <f t="shared" si="52"/>
        <v>0.98688773477853886</v>
      </c>
      <c r="V204" s="21">
        <f t="shared" si="53"/>
        <v>0.98688773477853886</v>
      </c>
    </row>
    <row r="205" spans="1:22" x14ac:dyDescent="0.25">
      <c r="A205" t="str">
        <f>Tabelle2!A221</f>
        <v xml:space="preserve"> Roll Rat</v>
      </c>
      <c r="B205">
        <f>Tabelle2!$N221+(B$11*Tabelle2!$O221)</f>
        <v>3300</v>
      </c>
      <c r="C205">
        <f>Tabelle2!$N221+(C$11*Tabelle2!$O221)</f>
        <v>18000</v>
      </c>
      <c r="D205">
        <f>Tabelle2!$N221+(D$11*Tabelle2!$O221)</f>
        <v>48000</v>
      </c>
      <c r="E205" s="21">
        <f t="shared" ref="E205:E268" si="54">POWER($C$2,$B205/$B$2)</f>
        <v>0.90437119882657746</v>
      </c>
      <c r="F205" s="21">
        <f t="shared" ref="F205:F268" si="55">POWER($C$2,$C205/$B$2)</f>
        <v>0.57795126254304086</v>
      </c>
      <c r="G205" s="21">
        <f t="shared" ref="G205:G268" si="56">POWER($C$2,$D205/$B$2)</f>
        <v>0.2317625415532017</v>
      </c>
      <c r="H205" s="21">
        <f t="shared" ref="H205:H268" si="57">POWER($C$3,$B205/$B$3)</f>
        <v>0.9509843315357922</v>
      </c>
      <c r="I205" s="21">
        <f t="shared" ref="I205:I268" si="58">POWER($C$3,$C205/$B$3)</f>
        <v>0.76023105865456508</v>
      </c>
      <c r="J205" s="21">
        <f t="shared" ref="J205:J268" si="59">POWER($C$3,$D205/$B$3)</f>
        <v>0.48141722191172354</v>
      </c>
      <c r="K205" s="21">
        <f t="shared" ref="K205:K268" si="60">POWER($C$4,$B205/$B$4)</f>
        <v>0.96704995196103694</v>
      </c>
      <c r="L205" s="21">
        <f t="shared" ref="L205:L268" si="61">POWER($C$4,$C205/$B$4)</f>
        <v>0.83297200492899992</v>
      </c>
      <c r="M205" s="21">
        <f t="shared" ref="M205:M268" si="62">POWER($C$4,$D205/$B$4)</f>
        <v>0.61425365346268557</v>
      </c>
      <c r="N205" s="21">
        <f t="shared" ref="N205:N268" si="63">POWER($C$5,$B205/$B$5)</f>
        <v>0.9751842551722173</v>
      </c>
      <c r="O205" s="21">
        <f t="shared" ref="O205:O268" si="64">POWER($C$5,$C205/$B$5)</f>
        <v>0.87191229986424956</v>
      </c>
      <c r="P205" s="21">
        <f t="shared" ref="P205:P268" si="65">POWER($C$5,$D205/$B$5)</f>
        <v>0.69384236099543783</v>
      </c>
      <c r="Q205" s="21">
        <f t="shared" ref="Q205:Q268" si="66">POWER($C$6,$B205/$B$6)</f>
        <v>0.98009764263406507</v>
      </c>
      <c r="R205" s="21">
        <f t="shared" ref="R205:R268" si="67">POWER($C$6,$C205/$B$6)</f>
        <v>0.89614491199698143</v>
      </c>
      <c r="S205" s="21">
        <f t="shared" ref="S205:S268" si="68">POWER($C$6,$D205/$B$6)</f>
        <v>0.74646362405304778</v>
      </c>
      <c r="T205" s="21">
        <f t="shared" ref="T205:T268" si="69">POWER($C$7,$B205/$B$7)</f>
        <v>0.9833869797597673</v>
      </c>
      <c r="U205" s="21">
        <f t="shared" ref="U205:U268" si="70">POWER($C$7,$C205/$B$7)</f>
        <v>0.91267299999999996</v>
      </c>
      <c r="V205" s="21">
        <f t="shared" ref="V205:V268" si="71">POWER($C$7,$D205/$B$7)</f>
        <v>0.78374335943769602</v>
      </c>
    </row>
    <row r="206" spans="1:22" x14ac:dyDescent="0.25">
      <c r="A206" t="str">
        <f>Tabelle2!A222</f>
        <v xml:space="preserve"> Sabertooth</v>
      </c>
      <c r="B206">
        <f>Tabelle2!$N222+(B$11*Tabelle2!$O222)</f>
        <v>1320</v>
      </c>
      <c r="C206">
        <f>Tabelle2!$N222+(C$11*Tabelle2!$O222)</f>
        <v>7200</v>
      </c>
      <c r="D206">
        <f>Tabelle2!$N222+(D$11*Tabelle2!$O222)</f>
        <v>19200</v>
      </c>
      <c r="E206" s="21">
        <f t="shared" si="54"/>
        <v>0.96059138909685149</v>
      </c>
      <c r="F206" s="21">
        <f t="shared" si="55"/>
        <v>0.80307570329807754</v>
      </c>
      <c r="G206" s="21">
        <f t="shared" si="56"/>
        <v>0.55720794203440982</v>
      </c>
      <c r="H206" s="21">
        <f t="shared" si="57"/>
        <v>0.98009764263406507</v>
      </c>
      <c r="I206" s="21">
        <f t="shared" si="58"/>
        <v>0.89614491199698143</v>
      </c>
      <c r="J206" s="21">
        <f t="shared" si="59"/>
        <v>0.74646362405304778</v>
      </c>
      <c r="K206" s="21">
        <f t="shared" si="60"/>
        <v>0.98668735633527116</v>
      </c>
      <c r="L206" s="21">
        <f t="shared" si="61"/>
        <v>0.92950592451927649</v>
      </c>
      <c r="M206" s="21">
        <f t="shared" si="62"/>
        <v>0.82288491182931811</v>
      </c>
      <c r="N206" s="21">
        <f t="shared" si="63"/>
        <v>0.98999880941042806</v>
      </c>
      <c r="O206" s="21">
        <f t="shared" si="64"/>
        <v>0.94664930782047341</v>
      </c>
      <c r="P206" s="21">
        <f t="shared" si="65"/>
        <v>0.86398126371643491</v>
      </c>
      <c r="Q206" s="21">
        <f t="shared" si="66"/>
        <v>0.9919910134346358</v>
      </c>
      <c r="R206" s="21">
        <f t="shared" si="67"/>
        <v>0.95708673564521296</v>
      </c>
      <c r="S206" s="21">
        <f t="shared" si="68"/>
        <v>0.88961779106104</v>
      </c>
      <c r="T206" s="21">
        <f t="shared" si="69"/>
        <v>0.99332137615943372</v>
      </c>
      <c r="U206" s="21">
        <f t="shared" si="70"/>
        <v>0.9641088758637566</v>
      </c>
      <c r="V206" s="21">
        <f t="shared" si="71"/>
        <v>0.90713004130020858</v>
      </c>
    </row>
    <row r="207" spans="1:22" x14ac:dyDescent="0.25">
      <c r="A207" t="str">
        <f>Tabelle2!A223</f>
        <v xml:space="preserve"> Sarco</v>
      </c>
      <c r="B207">
        <f>Tabelle2!$N223+(B$11*Tabelle2!$O223)</f>
        <v>1650</v>
      </c>
      <c r="C207">
        <f>Tabelle2!$N223+(C$11*Tabelle2!$O223)</f>
        <v>9000</v>
      </c>
      <c r="D207">
        <f>Tabelle2!$N223+(D$11*Tabelle2!$O223)</f>
        <v>24000</v>
      </c>
      <c r="E207" s="21">
        <f t="shared" si="54"/>
        <v>0.9509843315357922</v>
      </c>
      <c r="F207" s="21">
        <f t="shared" si="55"/>
        <v>0.76023105865456508</v>
      </c>
      <c r="G207" s="21">
        <f t="shared" si="56"/>
        <v>0.48141722191172354</v>
      </c>
      <c r="H207" s="21">
        <f t="shared" si="57"/>
        <v>0.9751842551722173</v>
      </c>
      <c r="I207" s="21">
        <f t="shared" si="58"/>
        <v>0.87191229986424956</v>
      </c>
      <c r="J207" s="21">
        <f t="shared" si="59"/>
        <v>0.69384236099543783</v>
      </c>
      <c r="K207" s="21">
        <f t="shared" si="60"/>
        <v>0.9833869797597673</v>
      </c>
      <c r="L207" s="21">
        <f t="shared" si="61"/>
        <v>0.91267299999999996</v>
      </c>
      <c r="M207" s="21">
        <f t="shared" si="62"/>
        <v>0.78374335943769602</v>
      </c>
      <c r="N207" s="21">
        <f t="shared" si="63"/>
        <v>0.9875141797322291</v>
      </c>
      <c r="O207" s="21">
        <f t="shared" si="64"/>
        <v>0.93376244295015931</v>
      </c>
      <c r="P207" s="21">
        <f t="shared" si="65"/>
        <v>0.83297200492899992</v>
      </c>
      <c r="Q207" s="21">
        <f t="shared" si="66"/>
        <v>0.98999880941042806</v>
      </c>
      <c r="R207" s="21">
        <f t="shared" si="67"/>
        <v>0.94664930782047341</v>
      </c>
      <c r="S207" s="21">
        <f t="shared" si="68"/>
        <v>0.86398126371643491</v>
      </c>
      <c r="T207" s="21">
        <f t="shared" si="69"/>
        <v>0.99165870124744393</v>
      </c>
      <c r="U207" s="21">
        <f t="shared" si="70"/>
        <v>0.95533920677422213</v>
      </c>
      <c r="V207" s="21">
        <f t="shared" si="71"/>
        <v>0.88529280999999993</v>
      </c>
    </row>
    <row r="208" spans="1:22" x14ac:dyDescent="0.25">
      <c r="A208" t="str">
        <f>Tabelle2!A224</f>
        <v xml:space="preserve"> Shadowmane</v>
      </c>
      <c r="B208">
        <f>Tabelle2!$N224+(B$11*Tabelle2!$O224)</f>
        <v>1650</v>
      </c>
      <c r="C208">
        <f>Tabelle2!$N224+(C$11*Tabelle2!$O224)</f>
        <v>9000</v>
      </c>
      <c r="D208">
        <f>Tabelle2!$N224+(D$11*Tabelle2!$O224)</f>
        <v>24000</v>
      </c>
      <c r="E208" s="21">
        <f t="shared" si="54"/>
        <v>0.9509843315357922</v>
      </c>
      <c r="F208" s="21">
        <f t="shared" si="55"/>
        <v>0.76023105865456508</v>
      </c>
      <c r="G208" s="21">
        <f t="shared" si="56"/>
        <v>0.48141722191172354</v>
      </c>
      <c r="H208" s="21">
        <f t="shared" si="57"/>
        <v>0.9751842551722173</v>
      </c>
      <c r="I208" s="21">
        <f t="shared" si="58"/>
        <v>0.87191229986424956</v>
      </c>
      <c r="J208" s="21">
        <f t="shared" si="59"/>
        <v>0.69384236099543783</v>
      </c>
      <c r="K208" s="21">
        <f t="shared" si="60"/>
        <v>0.9833869797597673</v>
      </c>
      <c r="L208" s="21">
        <f t="shared" si="61"/>
        <v>0.91267299999999996</v>
      </c>
      <c r="M208" s="21">
        <f t="shared" si="62"/>
        <v>0.78374335943769602</v>
      </c>
      <c r="N208" s="21">
        <f t="shared" si="63"/>
        <v>0.9875141797322291</v>
      </c>
      <c r="O208" s="21">
        <f t="shared" si="64"/>
        <v>0.93376244295015931</v>
      </c>
      <c r="P208" s="21">
        <f t="shared" si="65"/>
        <v>0.83297200492899992</v>
      </c>
      <c r="Q208" s="21">
        <f t="shared" si="66"/>
        <v>0.98999880941042806</v>
      </c>
      <c r="R208" s="21">
        <f t="shared" si="67"/>
        <v>0.94664930782047341</v>
      </c>
      <c r="S208" s="21">
        <f t="shared" si="68"/>
        <v>0.86398126371643491</v>
      </c>
      <c r="T208" s="21">
        <f t="shared" si="69"/>
        <v>0.99165870124744393</v>
      </c>
      <c r="U208" s="21">
        <f t="shared" si="70"/>
        <v>0.95533920677422213</v>
      </c>
      <c r="V208" s="21">
        <f t="shared" si="71"/>
        <v>0.88529280999999993</v>
      </c>
    </row>
    <row r="209" spans="1:22" x14ac:dyDescent="0.25">
      <c r="A209" t="str">
        <f>Tabelle2!A225</f>
        <v xml:space="preserve"> Shastasaurus</v>
      </c>
      <c r="B209">
        <f>Tabelle2!$N225+(B$11*Tabelle2!$O225)</f>
        <v>8800</v>
      </c>
      <c r="C209">
        <f>Tabelle2!$N225+(C$11*Tabelle2!$O225)</f>
        <v>48000</v>
      </c>
      <c r="D209">
        <f>Tabelle2!$N225+(D$11*Tabelle2!$O225)</f>
        <v>128000</v>
      </c>
      <c r="E209" s="21">
        <f t="shared" si="54"/>
        <v>0.76487640074287355</v>
      </c>
      <c r="F209" s="21">
        <f t="shared" si="55"/>
        <v>0.2317625415532017</v>
      </c>
      <c r="G209" s="21">
        <f t="shared" si="56"/>
        <v>2.0266650871550874E-2</v>
      </c>
      <c r="H209" s="21">
        <f t="shared" si="57"/>
        <v>0.87457212438018717</v>
      </c>
      <c r="I209" s="21">
        <f t="shared" si="58"/>
        <v>0.48141722191172354</v>
      </c>
      <c r="J209" s="21">
        <f t="shared" si="59"/>
        <v>0.14236098788485163</v>
      </c>
      <c r="K209" s="21">
        <f t="shared" si="60"/>
        <v>0.91452816934698211</v>
      </c>
      <c r="L209" s="21">
        <f t="shared" si="61"/>
        <v>0.61425365346268557</v>
      </c>
      <c r="M209" s="21">
        <f t="shared" si="62"/>
        <v>0.27264277621463529</v>
      </c>
      <c r="N209" s="21">
        <f t="shared" si="63"/>
        <v>0.93518560958784391</v>
      </c>
      <c r="O209" s="21">
        <f t="shared" si="64"/>
        <v>0.69384236099543783</v>
      </c>
      <c r="P209" s="21">
        <f t="shared" si="65"/>
        <v>0.37730755079225703</v>
      </c>
      <c r="Q209" s="21">
        <f t="shared" si="66"/>
        <v>0.94780337822639815</v>
      </c>
      <c r="R209" s="21">
        <f t="shared" si="67"/>
        <v>0.74646362405304778</v>
      </c>
      <c r="S209" s="21">
        <f t="shared" si="68"/>
        <v>0.45851800825158107</v>
      </c>
      <c r="T209" s="21">
        <f t="shared" si="69"/>
        <v>0.95630966184964483</v>
      </c>
      <c r="U209" s="21">
        <f t="shared" si="70"/>
        <v>0.78374335943769602</v>
      </c>
      <c r="V209" s="21">
        <f t="shared" si="71"/>
        <v>0.5221520623483501</v>
      </c>
    </row>
    <row r="210" spans="1:22" x14ac:dyDescent="0.25">
      <c r="A210" t="str">
        <f>Tabelle2!A226</f>
        <v xml:space="preserve"> Shinehorn</v>
      </c>
      <c r="B210">
        <f>Tabelle2!$N226+(B$11*Tabelle2!$O226)</f>
        <v>495</v>
      </c>
      <c r="C210">
        <f>Tabelle2!$N226+(C$11*Tabelle2!$O226)</f>
        <v>2700</v>
      </c>
      <c r="D210">
        <f>Tabelle2!$N226+(D$11*Tabelle2!$O226)</f>
        <v>7200</v>
      </c>
      <c r="E210" s="21">
        <f t="shared" si="54"/>
        <v>0.98503578580358775</v>
      </c>
      <c r="F210" s="21">
        <f t="shared" si="55"/>
        <v>0.92105100871166823</v>
      </c>
      <c r="G210" s="21">
        <f t="shared" si="56"/>
        <v>0.80307570329807754</v>
      </c>
      <c r="H210" s="21">
        <f t="shared" si="57"/>
        <v>0.99248969052760827</v>
      </c>
      <c r="I210" s="21">
        <f t="shared" si="58"/>
        <v>0.9597140244425254</v>
      </c>
      <c r="J210" s="21">
        <f t="shared" si="59"/>
        <v>0.89614491199698143</v>
      </c>
      <c r="K210" s="21">
        <f t="shared" si="60"/>
        <v>0.99498683881266892</v>
      </c>
      <c r="L210" s="21">
        <f t="shared" si="61"/>
        <v>0.9729590473501305</v>
      </c>
      <c r="M210" s="21">
        <f t="shared" si="62"/>
        <v>0.92950592451927649</v>
      </c>
      <c r="N210" s="21">
        <f t="shared" si="63"/>
        <v>0.99623776806925379</v>
      </c>
      <c r="O210" s="21">
        <f t="shared" si="64"/>
        <v>0.97964994995280097</v>
      </c>
      <c r="P210" s="21">
        <f t="shared" si="65"/>
        <v>0.94664930782047341</v>
      </c>
      <c r="Q210" s="21">
        <f t="shared" si="66"/>
        <v>0.99698908039667333</v>
      </c>
      <c r="R210" s="21">
        <f t="shared" si="67"/>
        <v>0.98368655726246035</v>
      </c>
      <c r="S210" s="21">
        <f t="shared" si="68"/>
        <v>0.95708673564521296</v>
      </c>
      <c r="T210" s="21">
        <f t="shared" si="69"/>
        <v>0.99749027003408353</v>
      </c>
      <c r="U210" s="21">
        <f t="shared" si="70"/>
        <v>0.98638686495214978</v>
      </c>
      <c r="V210" s="21">
        <f t="shared" si="71"/>
        <v>0.9641088758637566</v>
      </c>
    </row>
    <row r="211" spans="1:22" x14ac:dyDescent="0.25">
      <c r="A211" t="str">
        <f>Tabelle2!A227</f>
        <v xml:space="preserve"> Sinomacrops</v>
      </c>
      <c r="B211">
        <f>Tabelle2!$N227+(B$11*Tabelle2!$O227)</f>
        <v>990</v>
      </c>
      <c r="C211">
        <f>Tabelle2!$N227+(C$11*Tabelle2!$O227)</f>
        <v>5400</v>
      </c>
      <c r="D211">
        <f>Tabelle2!$N227+(D$11*Tabelle2!$O227)</f>
        <v>14400</v>
      </c>
      <c r="E211" s="21">
        <f t="shared" si="54"/>
        <v>0.97029549931369152</v>
      </c>
      <c r="F211" s="21">
        <f t="shared" si="55"/>
        <v>0.84833496064878156</v>
      </c>
      <c r="G211" s="21">
        <f t="shared" si="56"/>
        <v>0.64493058522770197</v>
      </c>
      <c r="H211" s="21">
        <f t="shared" si="57"/>
        <v>0.98503578580358775</v>
      </c>
      <c r="I211" s="21">
        <f t="shared" si="58"/>
        <v>0.92105100871166823</v>
      </c>
      <c r="J211" s="21">
        <f t="shared" si="59"/>
        <v>0.80307570329807754</v>
      </c>
      <c r="K211" s="21">
        <f t="shared" si="60"/>
        <v>0.98999880941042806</v>
      </c>
      <c r="L211" s="21">
        <f t="shared" si="61"/>
        <v>0.94664930782047341</v>
      </c>
      <c r="M211" s="21">
        <f t="shared" si="62"/>
        <v>0.86398126371643491</v>
      </c>
      <c r="N211" s="21">
        <f t="shared" si="63"/>
        <v>0.99248969052760827</v>
      </c>
      <c r="O211" s="21">
        <f t="shared" si="64"/>
        <v>0.9597140244425254</v>
      </c>
      <c r="P211" s="21">
        <f t="shared" si="65"/>
        <v>0.89614491199698143</v>
      </c>
      <c r="Q211" s="21">
        <f t="shared" si="66"/>
        <v>0.99398722643020432</v>
      </c>
      <c r="R211" s="21">
        <f t="shared" si="67"/>
        <v>0.96763924293887171</v>
      </c>
      <c r="S211" s="21">
        <f t="shared" si="68"/>
        <v>0.91601501954800979</v>
      </c>
      <c r="T211" s="21">
        <f t="shared" si="69"/>
        <v>0.99498683881266892</v>
      </c>
      <c r="U211" s="21">
        <f t="shared" si="70"/>
        <v>0.9729590473501305</v>
      </c>
      <c r="V211" s="21">
        <f t="shared" si="71"/>
        <v>0.92950592451927649</v>
      </c>
    </row>
    <row r="212" spans="1:22" x14ac:dyDescent="0.25">
      <c r="A212" t="str">
        <f>Tabelle2!A228</f>
        <v xml:space="preserve"> Snow Owl</v>
      </c>
      <c r="B212">
        <f>Tabelle2!$N228+(B$11*Tabelle2!$O228)</f>
        <v>2200</v>
      </c>
      <c r="C212">
        <f>Tabelle2!$N228+(C$11*Tabelle2!$O228)</f>
        <v>12000</v>
      </c>
      <c r="D212">
        <f>Tabelle2!$N228+(D$11*Tabelle2!$O228)</f>
        <v>32000</v>
      </c>
      <c r="E212" s="21">
        <f t="shared" si="54"/>
        <v>0.93518560958784391</v>
      </c>
      <c r="F212" s="21">
        <f t="shared" si="55"/>
        <v>0.69384236099543783</v>
      </c>
      <c r="G212" s="21">
        <f t="shared" si="56"/>
        <v>0.37730755079225703</v>
      </c>
      <c r="H212" s="21">
        <f t="shared" si="57"/>
        <v>0.96704995196103694</v>
      </c>
      <c r="I212" s="21">
        <f t="shared" si="58"/>
        <v>0.83297200492899992</v>
      </c>
      <c r="J212" s="21">
        <f t="shared" si="59"/>
        <v>0.61425365346268557</v>
      </c>
      <c r="K212" s="21">
        <f t="shared" si="60"/>
        <v>0.97791086600448651</v>
      </c>
      <c r="L212" s="21">
        <f t="shared" si="61"/>
        <v>0.88529280999999993</v>
      </c>
      <c r="M212" s="21">
        <f t="shared" si="62"/>
        <v>0.72260090115384579</v>
      </c>
      <c r="N212" s="21">
        <f t="shared" si="63"/>
        <v>0.9833869797597673</v>
      </c>
      <c r="O212" s="21">
        <f t="shared" si="64"/>
        <v>0.91267299999999996</v>
      </c>
      <c r="P212" s="21">
        <f t="shared" si="65"/>
        <v>0.78374335943769602</v>
      </c>
      <c r="Q212" s="21">
        <f t="shared" si="66"/>
        <v>0.98668735633527116</v>
      </c>
      <c r="R212" s="21">
        <f t="shared" si="67"/>
        <v>0.92950592451927649</v>
      </c>
      <c r="S212" s="21">
        <f t="shared" si="68"/>
        <v>0.82288491182931811</v>
      </c>
      <c r="T212" s="21">
        <f t="shared" si="69"/>
        <v>0.98889375870438512</v>
      </c>
      <c r="U212" s="21">
        <f t="shared" si="70"/>
        <v>0.94089999999999996</v>
      </c>
      <c r="V212" s="21">
        <f t="shared" si="71"/>
        <v>0.850059351547788</v>
      </c>
    </row>
    <row r="213" spans="1:22" x14ac:dyDescent="0.25">
      <c r="A213" t="str">
        <f>Tabelle2!A229</f>
        <v xml:space="preserve"> Spino</v>
      </c>
      <c r="B213">
        <f>Tabelle2!$N229+(B$11*Tabelle2!$O229)</f>
        <v>2860</v>
      </c>
      <c r="C213">
        <f>Tabelle2!$N229+(C$11*Tabelle2!$O229)</f>
        <v>15600</v>
      </c>
      <c r="D213">
        <f>Tabelle2!$N229+(D$11*Tabelle2!$O229)</f>
        <v>41600</v>
      </c>
      <c r="E213" s="21">
        <f t="shared" si="54"/>
        <v>0.91657321138234693</v>
      </c>
      <c r="F213" s="21">
        <f t="shared" si="55"/>
        <v>0.62178330153403438</v>
      </c>
      <c r="G213" s="21">
        <f t="shared" si="56"/>
        <v>0.28164636174696744</v>
      </c>
      <c r="H213" s="21">
        <f t="shared" si="57"/>
        <v>0.95737830108183819</v>
      </c>
      <c r="I213" s="21">
        <f t="shared" si="58"/>
        <v>0.78853237189986969</v>
      </c>
      <c r="J213" s="21">
        <f t="shared" si="59"/>
        <v>0.53070364776112799</v>
      </c>
      <c r="K213" s="21">
        <f t="shared" si="60"/>
        <v>0.97137976718084018</v>
      </c>
      <c r="L213" s="21">
        <f t="shared" si="61"/>
        <v>0.85351865585936615</v>
      </c>
      <c r="M213" s="21">
        <f t="shared" si="62"/>
        <v>0.65549298530725608</v>
      </c>
      <c r="N213" s="21">
        <f t="shared" si="63"/>
        <v>0.97845710232070893</v>
      </c>
      <c r="O213" s="21">
        <f t="shared" si="64"/>
        <v>0.88799345262218554</v>
      </c>
      <c r="P213" s="21">
        <f t="shared" si="65"/>
        <v>0.72849409589997915</v>
      </c>
      <c r="Q213" s="21">
        <f t="shared" si="66"/>
        <v>0.98272823036205414</v>
      </c>
      <c r="R213" s="21">
        <f t="shared" si="67"/>
        <v>0.90934317358684147</v>
      </c>
      <c r="S213" s="21">
        <f t="shared" si="68"/>
        <v>0.77614136323473126</v>
      </c>
      <c r="T213" s="21">
        <f t="shared" si="69"/>
        <v>0.98558600192009638</v>
      </c>
      <c r="U213" s="21">
        <f t="shared" si="70"/>
        <v>0.92386073401750668</v>
      </c>
      <c r="V213" s="21">
        <f t="shared" si="71"/>
        <v>0.8096252128653455</v>
      </c>
    </row>
    <row r="214" spans="1:22" x14ac:dyDescent="0.25">
      <c r="A214" t="str">
        <f>Tabelle2!A230</f>
        <v xml:space="preserve"> Stegosaurus</v>
      </c>
      <c r="B214">
        <f>Tabelle2!$N230+(B$11*Tabelle2!$O230)</f>
        <v>6600</v>
      </c>
      <c r="C214">
        <f>Tabelle2!$N230+(C$11*Tabelle2!$O230)</f>
        <v>36000</v>
      </c>
      <c r="D214">
        <f>Tabelle2!$N230+(D$11*Tabelle2!$O230)</f>
        <v>96000</v>
      </c>
      <c r="E214" s="21">
        <f t="shared" si="54"/>
        <v>0.81788726526702094</v>
      </c>
      <c r="F214" s="21">
        <f t="shared" si="55"/>
        <v>0.33402766187509492</v>
      </c>
      <c r="G214" s="21">
        <f t="shared" si="56"/>
        <v>5.3713875667199547E-2</v>
      </c>
      <c r="H214" s="21">
        <f t="shared" si="57"/>
        <v>0.90437119882657746</v>
      </c>
      <c r="I214" s="21">
        <f t="shared" si="58"/>
        <v>0.57795126254304086</v>
      </c>
      <c r="J214" s="21">
        <f t="shared" si="59"/>
        <v>0.2317625415532017</v>
      </c>
      <c r="K214" s="21">
        <f t="shared" si="60"/>
        <v>0.93518560958784391</v>
      </c>
      <c r="L214" s="21">
        <f t="shared" si="61"/>
        <v>0.69384236099543783</v>
      </c>
      <c r="M214" s="21">
        <f t="shared" si="62"/>
        <v>0.37730755079225703</v>
      </c>
      <c r="N214" s="21">
        <f t="shared" si="63"/>
        <v>0.9509843315357922</v>
      </c>
      <c r="O214" s="21">
        <f t="shared" si="64"/>
        <v>0.76023105865456508</v>
      </c>
      <c r="P214" s="21">
        <f t="shared" si="65"/>
        <v>0.48141722191172354</v>
      </c>
      <c r="Q214" s="21">
        <f t="shared" si="66"/>
        <v>0.96059138909685149</v>
      </c>
      <c r="R214" s="21">
        <f t="shared" si="67"/>
        <v>0.80307570329807754</v>
      </c>
      <c r="S214" s="21">
        <f t="shared" si="68"/>
        <v>0.55720794203440982</v>
      </c>
      <c r="T214" s="21">
        <f t="shared" si="69"/>
        <v>0.96704995196103694</v>
      </c>
      <c r="U214" s="21">
        <f t="shared" si="70"/>
        <v>0.83297200492899992</v>
      </c>
      <c r="V214" s="21">
        <f t="shared" si="71"/>
        <v>0.61425365346268557</v>
      </c>
    </row>
    <row r="215" spans="1:22" x14ac:dyDescent="0.25">
      <c r="A215" t="str">
        <f>Tabelle2!A231</f>
        <v xml:space="preserve"> Steinbjörn </v>
      </c>
      <c r="B215">
        <f>Tabelle2!$N231+(B$11*Tabelle2!$O231)</f>
        <v>6000</v>
      </c>
      <c r="C215">
        <f>Tabelle2!$N231+(C$11*Tabelle2!$O231)</f>
        <v>6000</v>
      </c>
      <c r="D215">
        <f>Tabelle2!$N231+(D$11*Tabelle2!$O231)</f>
        <v>6000</v>
      </c>
      <c r="E215" s="21">
        <f t="shared" si="54"/>
        <v>0.83297200492899992</v>
      </c>
      <c r="F215" s="21">
        <f t="shared" si="55"/>
        <v>0.83297200492899992</v>
      </c>
      <c r="G215" s="21">
        <f t="shared" si="56"/>
        <v>0.83297200492899992</v>
      </c>
      <c r="H215" s="21">
        <f t="shared" si="57"/>
        <v>0.91267299999999996</v>
      </c>
      <c r="I215" s="21">
        <f t="shared" si="58"/>
        <v>0.91267299999999996</v>
      </c>
      <c r="J215" s="21">
        <f t="shared" si="59"/>
        <v>0.91267299999999996</v>
      </c>
      <c r="K215" s="21">
        <f t="shared" si="60"/>
        <v>0.94089999999999996</v>
      </c>
      <c r="L215" s="21">
        <f t="shared" si="61"/>
        <v>0.94089999999999996</v>
      </c>
      <c r="M215" s="21">
        <f t="shared" si="62"/>
        <v>0.94089999999999996</v>
      </c>
      <c r="N215" s="21">
        <f t="shared" si="63"/>
        <v>0.95533920677422213</v>
      </c>
      <c r="O215" s="21">
        <f t="shared" si="64"/>
        <v>0.95533920677422213</v>
      </c>
      <c r="P215" s="21">
        <f t="shared" si="65"/>
        <v>0.95533920677422213</v>
      </c>
      <c r="Q215" s="21">
        <f t="shared" si="66"/>
        <v>0.9641088758637566</v>
      </c>
      <c r="R215" s="21">
        <f t="shared" si="67"/>
        <v>0.9641088758637566</v>
      </c>
      <c r="S215" s="21">
        <f t="shared" si="68"/>
        <v>0.9641088758637566</v>
      </c>
      <c r="T215" s="21">
        <f t="shared" si="69"/>
        <v>0.97</v>
      </c>
      <c r="U215" s="21">
        <f t="shared" si="70"/>
        <v>0.97</v>
      </c>
      <c r="V215" s="21">
        <f t="shared" si="71"/>
        <v>0.97</v>
      </c>
    </row>
    <row r="216" spans="1:22" x14ac:dyDescent="0.25">
      <c r="A216" t="str">
        <f>Tabelle2!A232</f>
        <v xml:space="preserve"> Tapejara</v>
      </c>
      <c r="B216">
        <f>Tabelle2!$N232+(B$11*Tabelle2!$O232)</f>
        <v>1760</v>
      </c>
      <c r="C216">
        <f>Tabelle2!$N232+(C$11*Tabelle2!$O232)</f>
        <v>9600</v>
      </c>
      <c r="D216">
        <f>Tabelle2!$N232+(D$11*Tabelle2!$O232)</f>
        <v>25600</v>
      </c>
      <c r="E216" s="21">
        <f t="shared" si="54"/>
        <v>0.94780337822639815</v>
      </c>
      <c r="F216" s="21">
        <f t="shared" si="55"/>
        <v>0.74646362405304778</v>
      </c>
      <c r="G216" s="21">
        <f t="shared" si="56"/>
        <v>0.45851800825158107</v>
      </c>
      <c r="H216" s="21">
        <f t="shared" si="57"/>
        <v>0.97355193915188631</v>
      </c>
      <c r="I216" s="21">
        <f t="shared" si="58"/>
        <v>0.86398126371643491</v>
      </c>
      <c r="J216" s="21">
        <f t="shared" si="59"/>
        <v>0.67713957811634451</v>
      </c>
      <c r="K216" s="21">
        <f t="shared" si="60"/>
        <v>0.98228930927171476</v>
      </c>
      <c r="L216" s="21">
        <f t="shared" si="61"/>
        <v>0.90713004130020858</v>
      </c>
      <c r="M216" s="21">
        <f t="shared" si="62"/>
        <v>0.77111437467717336</v>
      </c>
      <c r="N216" s="21">
        <f t="shared" si="63"/>
        <v>0.98668735633527116</v>
      </c>
      <c r="O216" s="21">
        <f t="shared" si="64"/>
        <v>0.92950592451927649</v>
      </c>
      <c r="P216" s="21">
        <f t="shared" si="65"/>
        <v>0.82288491182931811</v>
      </c>
      <c r="Q216" s="21">
        <f t="shared" si="66"/>
        <v>0.98933563089285692</v>
      </c>
      <c r="R216" s="21">
        <f t="shared" si="67"/>
        <v>0.94319552112011218</v>
      </c>
      <c r="S216" s="21">
        <f t="shared" si="68"/>
        <v>0.85560099202785911</v>
      </c>
      <c r="T216" s="21">
        <f t="shared" si="69"/>
        <v>0.99110509496809407</v>
      </c>
      <c r="U216" s="21">
        <f t="shared" si="70"/>
        <v>0.95243374640980072</v>
      </c>
      <c r="V216" s="21">
        <f t="shared" si="71"/>
        <v>0.87813118306843729</v>
      </c>
    </row>
    <row r="217" spans="1:22" x14ac:dyDescent="0.25">
      <c r="A217" t="str">
        <f>Tabelle2!A233</f>
        <v xml:space="preserve"> Tek Stryder</v>
      </c>
      <c r="B217" t="e">
        <f>Tabelle2!$N233+(B$11*Tabelle2!$O233)</f>
        <v>#VALUE!</v>
      </c>
      <c r="C217" t="e">
        <f>Tabelle2!$N233+(C$11*Tabelle2!$O233)</f>
        <v>#VALUE!</v>
      </c>
      <c r="D217" t="e">
        <f>Tabelle2!$N233+(D$11*Tabelle2!$O233)</f>
        <v>#VALUE!</v>
      </c>
      <c r="E217" s="21" t="e">
        <f t="shared" si="54"/>
        <v>#VALUE!</v>
      </c>
      <c r="F217" s="21" t="e">
        <f t="shared" si="55"/>
        <v>#VALUE!</v>
      </c>
      <c r="G217" s="21" t="e">
        <f t="shared" si="56"/>
        <v>#VALUE!</v>
      </c>
      <c r="H217" s="21" t="e">
        <f t="shared" si="57"/>
        <v>#VALUE!</v>
      </c>
      <c r="I217" s="21" t="e">
        <f t="shared" si="58"/>
        <v>#VALUE!</v>
      </c>
      <c r="J217" s="21" t="e">
        <f t="shared" si="59"/>
        <v>#VALUE!</v>
      </c>
      <c r="K217" s="21" t="e">
        <f t="shared" si="60"/>
        <v>#VALUE!</v>
      </c>
      <c r="L217" s="21" t="e">
        <f t="shared" si="61"/>
        <v>#VALUE!</v>
      </c>
      <c r="M217" s="21" t="e">
        <f t="shared" si="62"/>
        <v>#VALUE!</v>
      </c>
      <c r="N217" s="21" t="e">
        <f t="shared" si="63"/>
        <v>#VALUE!</v>
      </c>
      <c r="O217" s="21" t="e">
        <f t="shared" si="64"/>
        <v>#VALUE!</v>
      </c>
      <c r="P217" s="21" t="e">
        <f t="shared" si="65"/>
        <v>#VALUE!</v>
      </c>
      <c r="Q217" s="21" t="e">
        <f t="shared" si="66"/>
        <v>#VALUE!</v>
      </c>
      <c r="R217" s="21" t="e">
        <f t="shared" si="67"/>
        <v>#VALUE!</v>
      </c>
      <c r="S217" s="21" t="e">
        <f t="shared" si="68"/>
        <v>#VALUE!</v>
      </c>
      <c r="T217" s="21" t="e">
        <f t="shared" si="69"/>
        <v>#VALUE!</v>
      </c>
      <c r="U217" s="21" t="e">
        <f t="shared" si="70"/>
        <v>#VALUE!</v>
      </c>
      <c r="V217" s="21" t="e">
        <f t="shared" si="71"/>
        <v>#VALUE!</v>
      </c>
    </row>
    <row r="218" spans="1:22" x14ac:dyDescent="0.25">
      <c r="A218" t="str">
        <f>Tabelle2!A234</f>
        <v xml:space="preserve"> Terror Bird</v>
      </c>
      <c r="B218">
        <f>Tabelle2!$N234+(B$11*Tabelle2!$O234)</f>
        <v>1650</v>
      </c>
      <c r="C218">
        <f>Tabelle2!$N234+(C$11*Tabelle2!$O234)</f>
        <v>9000</v>
      </c>
      <c r="D218">
        <f>Tabelle2!$N234+(D$11*Tabelle2!$O234)</f>
        <v>24000</v>
      </c>
      <c r="E218" s="21">
        <f t="shared" si="54"/>
        <v>0.9509843315357922</v>
      </c>
      <c r="F218" s="21">
        <f t="shared" si="55"/>
        <v>0.76023105865456508</v>
      </c>
      <c r="G218" s="21">
        <f t="shared" si="56"/>
        <v>0.48141722191172354</v>
      </c>
      <c r="H218" s="21">
        <f t="shared" si="57"/>
        <v>0.9751842551722173</v>
      </c>
      <c r="I218" s="21">
        <f t="shared" si="58"/>
        <v>0.87191229986424956</v>
      </c>
      <c r="J218" s="21">
        <f t="shared" si="59"/>
        <v>0.69384236099543783</v>
      </c>
      <c r="K218" s="21">
        <f t="shared" si="60"/>
        <v>0.9833869797597673</v>
      </c>
      <c r="L218" s="21">
        <f t="shared" si="61"/>
        <v>0.91267299999999996</v>
      </c>
      <c r="M218" s="21">
        <f t="shared" si="62"/>
        <v>0.78374335943769602</v>
      </c>
      <c r="N218" s="21">
        <f t="shared" si="63"/>
        <v>0.9875141797322291</v>
      </c>
      <c r="O218" s="21">
        <f t="shared" si="64"/>
        <v>0.93376244295015931</v>
      </c>
      <c r="P218" s="21">
        <f t="shared" si="65"/>
        <v>0.83297200492899992</v>
      </c>
      <c r="Q218" s="21">
        <f t="shared" si="66"/>
        <v>0.98999880941042806</v>
      </c>
      <c r="R218" s="21">
        <f t="shared" si="67"/>
        <v>0.94664930782047341</v>
      </c>
      <c r="S218" s="21">
        <f t="shared" si="68"/>
        <v>0.86398126371643491</v>
      </c>
      <c r="T218" s="21">
        <f t="shared" si="69"/>
        <v>0.99165870124744393</v>
      </c>
      <c r="U218" s="21">
        <f t="shared" si="70"/>
        <v>0.95533920677422213</v>
      </c>
      <c r="V218" s="21">
        <f t="shared" si="71"/>
        <v>0.88529280999999993</v>
      </c>
    </row>
    <row r="219" spans="1:22" x14ac:dyDescent="0.25">
      <c r="A219" t="str">
        <f>Tabelle2!A235</f>
        <v xml:space="preserve"> Therizinosaur</v>
      </c>
      <c r="B219">
        <f>Tabelle2!$N235+(B$11*Tabelle2!$O235)</f>
        <v>3300</v>
      </c>
      <c r="C219">
        <f>Tabelle2!$N235+(C$11*Tabelle2!$O235)</f>
        <v>18000</v>
      </c>
      <c r="D219">
        <f>Tabelle2!$N235+(D$11*Tabelle2!$O235)</f>
        <v>48000</v>
      </c>
      <c r="E219" s="21">
        <f t="shared" si="54"/>
        <v>0.90437119882657746</v>
      </c>
      <c r="F219" s="21">
        <f t="shared" si="55"/>
        <v>0.57795126254304086</v>
      </c>
      <c r="G219" s="21">
        <f t="shared" si="56"/>
        <v>0.2317625415532017</v>
      </c>
      <c r="H219" s="21">
        <f t="shared" si="57"/>
        <v>0.9509843315357922</v>
      </c>
      <c r="I219" s="21">
        <f t="shared" si="58"/>
        <v>0.76023105865456508</v>
      </c>
      <c r="J219" s="21">
        <f t="shared" si="59"/>
        <v>0.48141722191172354</v>
      </c>
      <c r="K219" s="21">
        <f t="shared" si="60"/>
        <v>0.96704995196103694</v>
      </c>
      <c r="L219" s="21">
        <f t="shared" si="61"/>
        <v>0.83297200492899992</v>
      </c>
      <c r="M219" s="21">
        <f t="shared" si="62"/>
        <v>0.61425365346268557</v>
      </c>
      <c r="N219" s="21">
        <f t="shared" si="63"/>
        <v>0.9751842551722173</v>
      </c>
      <c r="O219" s="21">
        <f t="shared" si="64"/>
        <v>0.87191229986424956</v>
      </c>
      <c r="P219" s="21">
        <f t="shared" si="65"/>
        <v>0.69384236099543783</v>
      </c>
      <c r="Q219" s="21">
        <f t="shared" si="66"/>
        <v>0.98009764263406507</v>
      </c>
      <c r="R219" s="21">
        <f t="shared" si="67"/>
        <v>0.89614491199698143</v>
      </c>
      <c r="S219" s="21">
        <f t="shared" si="68"/>
        <v>0.74646362405304778</v>
      </c>
      <c r="T219" s="21">
        <f t="shared" si="69"/>
        <v>0.9833869797597673</v>
      </c>
      <c r="U219" s="21">
        <f t="shared" si="70"/>
        <v>0.91267299999999996</v>
      </c>
      <c r="V219" s="21">
        <f t="shared" si="71"/>
        <v>0.78374335943769602</v>
      </c>
    </row>
    <row r="220" spans="1:22" x14ac:dyDescent="0.25">
      <c r="A220" t="str">
        <f>Tabelle2!A236</f>
        <v xml:space="preserve"> Thorny Dragon</v>
      </c>
      <c r="B220">
        <f>Tabelle2!$N236+(B$11*Tabelle2!$O236)</f>
        <v>1320</v>
      </c>
      <c r="C220">
        <f>Tabelle2!$N236+(C$11*Tabelle2!$O236)</f>
        <v>7200</v>
      </c>
      <c r="D220">
        <f>Tabelle2!$N236+(D$11*Tabelle2!$O236)</f>
        <v>19200</v>
      </c>
      <c r="E220" s="21">
        <f t="shared" si="54"/>
        <v>0.96059138909685149</v>
      </c>
      <c r="F220" s="21">
        <f t="shared" si="55"/>
        <v>0.80307570329807754</v>
      </c>
      <c r="G220" s="21">
        <f t="shared" si="56"/>
        <v>0.55720794203440982</v>
      </c>
      <c r="H220" s="21">
        <f t="shared" si="57"/>
        <v>0.98009764263406507</v>
      </c>
      <c r="I220" s="21">
        <f t="shared" si="58"/>
        <v>0.89614491199698143</v>
      </c>
      <c r="J220" s="21">
        <f t="shared" si="59"/>
        <v>0.74646362405304778</v>
      </c>
      <c r="K220" s="21">
        <f t="shared" si="60"/>
        <v>0.98668735633527116</v>
      </c>
      <c r="L220" s="21">
        <f t="shared" si="61"/>
        <v>0.92950592451927649</v>
      </c>
      <c r="M220" s="21">
        <f t="shared" si="62"/>
        <v>0.82288491182931811</v>
      </c>
      <c r="N220" s="21">
        <f t="shared" si="63"/>
        <v>0.98999880941042806</v>
      </c>
      <c r="O220" s="21">
        <f t="shared" si="64"/>
        <v>0.94664930782047341</v>
      </c>
      <c r="P220" s="21">
        <f t="shared" si="65"/>
        <v>0.86398126371643491</v>
      </c>
      <c r="Q220" s="21">
        <f t="shared" si="66"/>
        <v>0.9919910134346358</v>
      </c>
      <c r="R220" s="21">
        <f t="shared" si="67"/>
        <v>0.95708673564521296</v>
      </c>
      <c r="S220" s="21">
        <f t="shared" si="68"/>
        <v>0.88961779106104</v>
      </c>
      <c r="T220" s="21">
        <f t="shared" si="69"/>
        <v>0.99332137615943372</v>
      </c>
      <c r="U220" s="21">
        <f t="shared" si="70"/>
        <v>0.9641088758637566</v>
      </c>
      <c r="V220" s="21">
        <f t="shared" si="71"/>
        <v>0.90713004130020858</v>
      </c>
    </row>
    <row r="221" spans="1:22" x14ac:dyDescent="0.25">
      <c r="A221" t="str">
        <f>Tabelle2!A237</f>
        <v xml:space="preserve"> Thylacoleo</v>
      </c>
      <c r="B221">
        <f>Tabelle2!$N237+(B$11*Tabelle2!$O237)</f>
        <v>1650</v>
      </c>
      <c r="C221">
        <f>Tabelle2!$N237+(C$11*Tabelle2!$O237)</f>
        <v>9000</v>
      </c>
      <c r="D221">
        <f>Tabelle2!$N237+(D$11*Tabelle2!$O237)</f>
        <v>24000</v>
      </c>
      <c r="E221" s="21">
        <f t="shared" si="54"/>
        <v>0.9509843315357922</v>
      </c>
      <c r="F221" s="21">
        <f t="shared" si="55"/>
        <v>0.76023105865456508</v>
      </c>
      <c r="G221" s="21">
        <f t="shared" si="56"/>
        <v>0.48141722191172354</v>
      </c>
      <c r="H221" s="21">
        <f t="shared" si="57"/>
        <v>0.9751842551722173</v>
      </c>
      <c r="I221" s="21">
        <f t="shared" si="58"/>
        <v>0.87191229986424956</v>
      </c>
      <c r="J221" s="21">
        <f t="shared" si="59"/>
        <v>0.69384236099543783</v>
      </c>
      <c r="K221" s="21">
        <f t="shared" si="60"/>
        <v>0.9833869797597673</v>
      </c>
      <c r="L221" s="21">
        <f t="shared" si="61"/>
        <v>0.91267299999999996</v>
      </c>
      <c r="M221" s="21">
        <f t="shared" si="62"/>
        <v>0.78374335943769602</v>
      </c>
      <c r="N221" s="21">
        <f t="shared" si="63"/>
        <v>0.9875141797322291</v>
      </c>
      <c r="O221" s="21">
        <f t="shared" si="64"/>
        <v>0.93376244295015931</v>
      </c>
      <c r="P221" s="21">
        <f t="shared" si="65"/>
        <v>0.83297200492899992</v>
      </c>
      <c r="Q221" s="21">
        <f t="shared" si="66"/>
        <v>0.98999880941042806</v>
      </c>
      <c r="R221" s="21">
        <f t="shared" si="67"/>
        <v>0.94664930782047341</v>
      </c>
      <c r="S221" s="21">
        <f t="shared" si="68"/>
        <v>0.86398126371643491</v>
      </c>
      <c r="T221" s="21">
        <f t="shared" si="69"/>
        <v>0.99165870124744393</v>
      </c>
      <c r="U221" s="21">
        <f t="shared" si="70"/>
        <v>0.95533920677422213</v>
      </c>
      <c r="V221" s="21">
        <f t="shared" si="71"/>
        <v>0.88529280999999993</v>
      </c>
    </row>
    <row r="222" spans="1:22" x14ac:dyDescent="0.25">
      <c r="A222" t="str">
        <f>Tabelle2!A238</f>
        <v xml:space="preserve"> Titanoboa</v>
      </c>
      <c r="B222">
        <f>Tabelle2!$N238+(B$11*Tabelle2!$O238)</f>
        <v>1320</v>
      </c>
      <c r="C222">
        <f>Tabelle2!$N238+(C$11*Tabelle2!$O238)</f>
        <v>7200</v>
      </c>
      <c r="D222">
        <f>Tabelle2!$N238+(D$11*Tabelle2!$O238)</f>
        <v>19200</v>
      </c>
      <c r="E222" s="21">
        <f t="shared" si="54"/>
        <v>0.96059138909685149</v>
      </c>
      <c r="F222" s="21">
        <f t="shared" si="55"/>
        <v>0.80307570329807754</v>
      </c>
      <c r="G222" s="21">
        <f t="shared" si="56"/>
        <v>0.55720794203440982</v>
      </c>
      <c r="H222" s="21">
        <f t="shared" si="57"/>
        <v>0.98009764263406507</v>
      </c>
      <c r="I222" s="21">
        <f t="shared" si="58"/>
        <v>0.89614491199698143</v>
      </c>
      <c r="J222" s="21">
        <f t="shared" si="59"/>
        <v>0.74646362405304778</v>
      </c>
      <c r="K222" s="21">
        <f t="shared" si="60"/>
        <v>0.98668735633527116</v>
      </c>
      <c r="L222" s="21">
        <f t="shared" si="61"/>
        <v>0.92950592451927649</v>
      </c>
      <c r="M222" s="21">
        <f t="shared" si="62"/>
        <v>0.82288491182931811</v>
      </c>
      <c r="N222" s="21">
        <f t="shared" si="63"/>
        <v>0.98999880941042806</v>
      </c>
      <c r="O222" s="21">
        <f t="shared" si="64"/>
        <v>0.94664930782047341</v>
      </c>
      <c r="P222" s="21">
        <f t="shared" si="65"/>
        <v>0.86398126371643491</v>
      </c>
      <c r="Q222" s="21">
        <f t="shared" si="66"/>
        <v>0.9919910134346358</v>
      </c>
      <c r="R222" s="21">
        <f t="shared" si="67"/>
        <v>0.95708673564521296</v>
      </c>
      <c r="S222" s="21">
        <f t="shared" si="68"/>
        <v>0.88961779106104</v>
      </c>
      <c r="T222" s="21">
        <f t="shared" si="69"/>
        <v>0.99332137615943372</v>
      </c>
      <c r="U222" s="21">
        <f t="shared" si="70"/>
        <v>0.9641088758637566</v>
      </c>
      <c r="V222" s="21">
        <f t="shared" si="71"/>
        <v>0.90713004130020858</v>
      </c>
    </row>
    <row r="223" spans="1:22" x14ac:dyDescent="0.25">
      <c r="A223" t="str">
        <f>Tabelle2!A239</f>
        <v xml:space="preserve"> Titanosaur</v>
      </c>
      <c r="B223">
        <f>Tabelle2!$N239+(B$11*Tabelle2!$O239)</f>
        <v>9504</v>
      </c>
      <c r="C223">
        <f>Tabelle2!$N239+(C$11*Tabelle2!$O239)</f>
        <v>51840</v>
      </c>
      <c r="D223">
        <f>Tabelle2!$N239+(D$11*Tabelle2!$O239)</f>
        <v>138240</v>
      </c>
      <c r="E223" s="21">
        <f t="shared" si="54"/>
        <v>0.74864954067621903</v>
      </c>
      <c r="F223" s="21">
        <f t="shared" si="55"/>
        <v>0.20618008026725163</v>
      </c>
      <c r="G223" s="21">
        <f t="shared" si="56"/>
        <v>1.4836263737000695E-2</v>
      </c>
      <c r="H223" s="21">
        <f t="shared" si="57"/>
        <v>0.86524536443497868</v>
      </c>
      <c r="I223" s="21">
        <f t="shared" si="58"/>
        <v>0.45407056749722463</v>
      </c>
      <c r="J223" s="21">
        <f t="shared" si="59"/>
        <v>0.12180420246034493</v>
      </c>
      <c r="K223" s="21">
        <f t="shared" si="60"/>
        <v>0.90801464712904922</v>
      </c>
      <c r="L223" s="21">
        <f t="shared" si="61"/>
        <v>0.59076610263446272</v>
      </c>
      <c r="M223" s="21">
        <f t="shared" si="62"/>
        <v>0.24572057051115648</v>
      </c>
      <c r="N223" s="21">
        <f t="shared" si="63"/>
        <v>0.93018566127143598</v>
      </c>
      <c r="O223" s="21">
        <f t="shared" si="64"/>
        <v>0.67384758476767181</v>
      </c>
      <c r="P223" s="21">
        <f t="shared" si="65"/>
        <v>0.34900458802191259</v>
      </c>
      <c r="Q223" s="21">
        <f t="shared" si="66"/>
        <v>0.94374727901409283</v>
      </c>
      <c r="R223" s="21">
        <f t="shared" si="67"/>
        <v>0.72920450134811687</v>
      </c>
      <c r="S223" s="21">
        <f t="shared" si="68"/>
        <v>0.43078930128493392</v>
      </c>
      <c r="T223" s="21">
        <f t="shared" si="69"/>
        <v>0.95289802556677028</v>
      </c>
      <c r="U223" s="21">
        <f t="shared" si="70"/>
        <v>0.76861310334554067</v>
      </c>
      <c r="V223" s="21">
        <f t="shared" si="71"/>
        <v>0.49570209855431968</v>
      </c>
    </row>
    <row r="224" spans="1:22" x14ac:dyDescent="0.25">
      <c r="A224" t="str">
        <f>Tabelle2!A240</f>
        <v xml:space="preserve"> Triceratops</v>
      </c>
      <c r="B224">
        <f>Tabelle2!$N240+(B$11*Tabelle2!$O240)</f>
        <v>3300</v>
      </c>
      <c r="C224">
        <f>Tabelle2!$N240+(C$11*Tabelle2!$O240)</f>
        <v>18000</v>
      </c>
      <c r="D224">
        <f>Tabelle2!$N240+(D$11*Tabelle2!$O240)</f>
        <v>48000</v>
      </c>
      <c r="E224" s="21">
        <f t="shared" si="54"/>
        <v>0.90437119882657746</v>
      </c>
      <c r="F224" s="21">
        <f t="shared" si="55"/>
        <v>0.57795126254304086</v>
      </c>
      <c r="G224" s="21">
        <f t="shared" si="56"/>
        <v>0.2317625415532017</v>
      </c>
      <c r="H224" s="21">
        <f t="shared" si="57"/>
        <v>0.9509843315357922</v>
      </c>
      <c r="I224" s="21">
        <f t="shared" si="58"/>
        <v>0.76023105865456508</v>
      </c>
      <c r="J224" s="21">
        <f t="shared" si="59"/>
        <v>0.48141722191172354</v>
      </c>
      <c r="K224" s="21">
        <f t="shared" si="60"/>
        <v>0.96704995196103694</v>
      </c>
      <c r="L224" s="21">
        <f t="shared" si="61"/>
        <v>0.83297200492899992</v>
      </c>
      <c r="M224" s="21">
        <f t="shared" si="62"/>
        <v>0.61425365346268557</v>
      </c>
      <c r="N224" s="21">
        <f t="shared" si="63"/>
        <v>0.9751842551722173</v>
      </c>
      <c r="O224" s="21">
        <f t="shared" si="64"/>
        <v>0.87191229986424956</v>
      </c>
      <c r="P224" s="21">
        <f t="shared" si="65"/>
        <v>0.69384236099543783</v>
      </c>
      <c r="Q224" s="21">
        <f t="shared" si="66"/>
        <v>0.98009764263406507</v>
      </c>
      <c r="R224" s="21">
        <f t="shared" si="67"/>
        <v>0.89614491199698143</v>
      </c>
      <c r="S224" s="21">
        <f t="shared" si="68"/>
        <v>0.74646362405304778</v>
      </c>
      <c r="T224" s="21">
        <f t="shared" si="69"/>
        <v>0.9833869797597673</v>
      </c>
      <c r="U224" s="21">
        <f t="shared" si="70"/>
        <v>0.91267299999999996</v>
      </c>
      <c r="V224" s="21">
        <f t="shared" si="71"/>
        <v>0.78374335943769602</v>
      </c>
    </row>
    <row r="225" spans="1:22" x14ac:dyDescent="0.25">
      <c r="A225" t="str">
        <f>Tabelle2!A241</f>
        <v xml:space="preserve"> Trilobite</v>
      </c>
      <c r="B225">
        <f>Tabelle2!$N241+(B$11*Tabelle2!$O241)</f>
        <v>495</v>
      </c>
      <c r="C225">
        <f>Tabelle2!$N241+(C$11*Tabelle2!$O241)</f>
        <v>2700</v>
      </c>
      <c r="D225">
        <f>Tabelle2!$N241+(D$11*Tabelle2!$O241)</f>
        <v>7200</v>
      </c>
      <c r="E225" s="21">
        <f t="shared" si="54"/>
        <v>0.98503578580358775</v>
      </c>
      <c r="F225" s="21">
        <f t="shared" si="55"/>
        <v>0.92105100871166823</v>
      </c>
      <c r="G225" s="21">
        <f t="shared" si="56"/>
        <v>0.80307570329807754</v>
      </c>
      <c r="H225" s="21">
        <f t="shared" si="57"/>
        <v>0.99248969052760827</v>
      </c>
      <c r="I225" s="21">
        <f t="shared" si="58"/>
        <v>0.9597140244425254</v>
      </c>
      <c r="J225" s="21">
        <f t="shared" si="59"/>
        <v>0.89614491199698143</v>
      </c>
      <c r="K225" s="21">
        <f t="shared" si="60"/>
        <v>0.99498683881266892</v>
      </c>
      <c r="L225" s="21">
        <f t="shared" si="61"/>
        <v>0.9729590473501305</v>
      </c>
      <c r="M225" s="21">
        <f t="shared" si="62"/>
        <v>0.92950592451927649</v>
      </c>
      <c r="N225" s="21">
        <f t="shared" si="63"/>
        <v>0.99623776806925379</v>
      </c>
      <c r="O225" s="21">
        <f t="shared" si="64"/>
        <v>0.97964994995280097</v>
      </c>
      <c r="P225" s="21">
        <f t="shared" si="65"/>
        <v>0.94664930782047341</v>
      </c>
      <c r="Q225" s="21">
        <f t="shared" si="66"/>
        <v>0.99698908039667333</v>
      </c>
      <c r="R225" s="21">
        <f t="shared" si="67"/>
        <v>0.98368655726246035</v>
      </c>
      <c r="S225" s="21">
        <f t="shared" si="68"/>
        <v>0.95708673564521296</v>
      </c>
      <c r="T225" s="21">
        <f t="shared" si="69"/>
        <v>0.99749027003408353</v>
      </c>
      <c r="U225" s="21">
        <f t="shared" si="70"/>
        <v>0.98638686495214978</v>
      </c>
      <c r="V225" s="21">
        <f t="shared" si="71"/>
        <v>0.9641088758637566</v>
      </c>
    </row>
    <row r="226" spans="1:22" x14ac:dyDescent="0.25">
      <c r="A226" t="str">
        <f>Tabelle2!A242</f>
        <v xml:space="preserve"> Troodon</v>
      </c>
      <c r="B226">
        <f>Tabelle2!$N242+(B$11*Tabelle2!$O242)</f>
        <v>220</v>
      </c>
      <c r="C226">
        <f>Tabelle2!$N242+(C$11*Tabelle2!$O242)</f>
        <v>1200</v>
      </c>
      <c r="D226">
        <f>Tabelle2!$N242+(D$11*Tabelle2!$O242)</f>
        <v>3200</v>
      </c>
      <c r="E226" s="21">
        <f t="shared" si="54"/>
        <v>0.99332137615943372</v>
      </c>
      <c r="F226" s="21">
        <f t="shared" si="55"/>
        <v>0.9641088758637566</v>
      </c>
      <c r="G226" s="21">
        <f t="shared" si="56"/>
        <v>0.90713004130020858</v>
      </c>
      <c r="H226" s="21">
        <f t="shared" si="57"/>
        <v>0.99665509388124518</v>
      </c>
      <c r="I226" s="21">
        <f t="shared" si="58"/>
        <v>0.98189046021628945</v>
      </c>
      <c r="J226" s="21">
        <f t="shared" si="59"/>
        <v>0.95243374640980072</v>
      </c>
      <c r="K226" s="21">
        <f t="shared" si="60"/>
        <v>0.99776881758056124</v>
      </c>
      <c r="L226" s="21">
        <f t="shared" si="61"/>
        <v>0.98789023755901428</v>
      </c>
      <c r="M226" s="21">
        <f t="shared" si="62"/>
        <v>0.96803230307508448</v>
      </c>
      <c r="N226" s="21">
        <f t="shared" si="63"/>
        <v>0.9983261460470948</v>
      </c>
      <c r="O226" s="21">
        <f t="shared" si="64"/>
        <v>0.99090386022877586</v>
      </c>
      <c r="P226" s="21">
        <f t="shared" si="65"/>
        <v>0.97592712146440563</v>
      </c>
      <c r="Q226" s="21">
        <f t="shared" si="66"/>
        <v>0.99866069254450007</v>
      </c>
      <c r="R226" s="21">
        <f t="shared" si="67"/>
        <v>0.99271644479753141</v>
      </c>
      <c r="S226" s="21">
        <f t="shared" si="68"/>
        <v>0.98069488447977338</v>
      </c>
      <c r="T226" s="21">
        <f t="shared" si="69"/>
        <v>0.99888378582323645</v>
      </c>
      <c r="U226" s="21">
        <f t="shared" si="70"/>
        <v>0.99392667614820274</v>
      </c>
      <c r="V226" s="21">
        <f t="shared" si="71"/>
        <v>0.98388632629744599</v>
      </c>
    </row>
    <row r="227" spans="1:22" x14ac:dyDescent="0.25">
      <c r="A227" t="str">
        <f>Tabelle2!A243</f>
        <v xml:space="preserve"> Tropeognathus</v>
      </c>
      <c r="B227">
        <f>Tabelle2!$N243+(B$11*Tabelle2!$O243)</f>
        <v>1760</v>
      </c>
      <c r="C227">
        <f>Tabelle2!$N243+(C$11*Tabelle2!$O243)</f>
        <v>9600</v>
      </c>
      <c r="D227">
        <f>Tabelle2!$N243+(D$11*Tabelle2!$O243)</f>
        <v>25600</v>
      </c>
      <c r="E227" s="21">
        <f t="shared" si="54"/>
        <v>0.94780337822639815</v>
      </c>
      <c r="F227" s="21">
        <f t="shared" si="55"/>
        <v>0.74646362405304778</v>
      </c>
      <c r="G227" s="21">
        <f t="shared" si="56"/>
        <v>0.45851800825158107</v>
      </c>
      <c r="H227" s="21">
        <f t="shared" si="57"/>
        <v>0.97355193915188631</v>
      </c>
      <c r="I227" s="21">
        <f t="shared" si="58"/>
        <v>0.86398126371643491</v>
      </c>
      <c r="J227" s="21">
        <f t="shared" si="59"/>
        <v>0.67713957811634451</v>
      </c>
      <c r="K227" s="21">
        <f t="shared" si="60"/>
        <v>0.98228930927171476</v>
      </c>
      <c r="L227" s="21">
        <f t="shared" si="61"/>
        <v>0.90713004130020858</v>
      </c>
      <c r="M227" s="21">
        <f t="shared" si="62"/>
        <v>0.77111437467717336</v>
      </c>
      <c r="N227" s="21">
        <f t="shared" si="63"/>
        <v>0.98668735633527116</v>
      </c>
      <c r="O227" s="21">
        <f t="shared" si="64"/>
        <v>0.92950592451927649</v>
      </c>
      <c r="P227" s="21">
        <f t="shared" si="65"/>
        <v>0.82288491182931811</v>
      </c>
      <c r="Q227" s="21">
        <f t="shared" si="66"/>
        <v>0.98933563089285692</v>
      </c>
      <c r="R227" s="21">
        <f t="shared" si="67"/>
        <v>0.94319552112011218</v>
      </c>
      <c r="S227" s="21">
        <f t="shared" si="68"/>
        <v>0.85560099202785911</v>
      </c>
      <c r="T227" s="21">
        <f t="shared" si="69"/>
        <v>0.99110509496809407</v>
      </c>
      <c r="U227" s="21">
        <f t="shared" si="70"/>
        <v>0.95243374640980072</v>
      </c>
      <c r="V227" s="21">
        <f t="shared" si="71"/>
        <v>0.87813118306843729</v>
      </c>
    </row>
    <row r="228" spans="1:22" x14ac:dyDescent="0.25">
      <c r="A228" t="str">
        <f>Tabelle2!A244</f>
        <v xml:space="preserve"> Tusoteuthis</v>
      </c>
      <c r="B228">
        <f>Tabelle2!$N244+(B$11*Tabelle2!$O244)</f>
        <v>3520</v>
      </c>
      <c r="C228">
        <f>Tabelle2!$N244+(C$11*Tabelle2!$O244)</f>
        <v>19200</v>
      </c>
      <c r="D228">
        <f>Tabelle2!$N244+(D$11*Tabelle2!$O244)</f>
        <v>51200</v>
      </c>
      <c r="E228" s="21">
        <f t="shared" si="54"/>
        <v>0.89833124377737272</v>
      </c>
      <c r="F228" s="21">
        <f t="shared" si="55"/>
        <v>0.55720794203440982</v>
      </c>
      <c r="G228" s="21">
        <f t="shared" si="56"/>
        <v>0.21023876389099697</v>
      </c>
      <c r="H228" s="21">
        <f t="shared" si="57"/>
        <v>0.94780337822639815</v>
      </c>
      <c r="I228" s="21">
        <f t="shared" si="58"/>
        <v>0.74646362405304778</v>
      </c>
      <c r="J228" s="21">
        <f t="shared" si="59"/>
        <v>0.45851800825158107</v>
      </c>
      <c r="K228" s="21">
        <f t="shared" si="60"/>
        <v>0.96489228710950237</v>
      </c>
      <c r="L228" s="21">
        <f t="shared" si="61"/>
        <v>0.82288491182931811</v>
      </c>
      <c r="M228" s="21">
        <f t="shared" si="62"/>
        <v>0.5946173788337682</v>
      </c>
      <c r="N228" s="21">
        <f t="shared" si="63"/>
        <v>0.97355193915188631</v>
      </c>
      <c r="O228" s="21">
        <f t="shared" si="64"/>
        <v>0.86398126371643491</v>
      </c>
      <c r="P228" s="21">
        <f t="shared" si="65"/>
        <v>0.67713957811634451</v>
      </c>
      <c r="Q228" s="21">
        <f t="shared" si="66"/>
        <v>0.97878499055416723</v>
      </c>
      <c r="R228" s="21">
        <f t="shared" si="67"/>
        <v>0.88961779106104</v>
      </c>
      <c r="S228" s="21">
        <f t="shared" si="68"/>
        <v>0.73205305755905659</v>
      </c>
      <c r="T228" s="21">
        <f t="shared" si="69"/>
        <v>0.98228930927171476</v>
      </c>
      <c r="U228" s="21">
        <f t="shared" si="70"/>
        <v>0.90713004130020858</v>
      </c>
      <c r="V228" s="21">
        <f t="shared" si="71"/>
        <v>0.77111437467717336</v>
      </c>
    </row>
    <row r="229" spans="1:22" x14ac:dyDescent="0.25">
      <c r="A229" t="str">
        <f>Tabelle2!A245</f>
        <v xml:space="preserve"> Veilwyn</v>
      </c>
      <c r="B229">
        <f>Tabelle2!$N245+(B$11*Tabelle2!$O245)</f>
        <v>1320</v>
      </c>
      <c r="C229">
        <f>Tabelle2!$N245+(C$11*Tabelle2!$O245)</f>
        <v>7200</v>
      </c>
      <c r="D229">
        <f>Tabelle2!$N245+(D$11*Tabelle2!$O245)</f>
        <v>19200</v>
      </c>
      <c r="E229" s="21">
        <f t="shared" si="54"/>
        <v>0.96059138909685149</v>
      </c>
      <c r="F229" s="21">
        <f t="shared" si="55"/>
        <v>0.80307570329807754</v>
      </c>
      <c r="G229" s="21">
        <f t="shared" si="56"/>
        <v>0.55720794203440982</v>
      </c>
      <c r="H229" s="21">
        <f t="shared" si="57"/>
        <v>0.98009764263406507</v>
      </c>
      <c r="I229" s="21">
        <f t="shared" si="58"/>
        <v>0.89614491199698143</v>
      </c>
      <c r="J229" s="21">
        <f t="shared" si="59"/>
        <v>0.74646362405304778</v>
      </c>
      <c r="K229" s="21">
        <f t="shared" si="60"/>
        <v>0.98668735633527116</v>
      </c>
      <c r="L229" s="21">
        <f t="shared" si="61"/>
        <v>0.92950592451927649</v>
      </c>
      <c r="M229" s="21">
        <f t="shared" si="62"/>
        <v>0.82288491182931811</v>
      </c>
      <c r="N229" s="21">
        <f t="shared" si="63"/>
        <v>0.98999880941042806</v>
      </c>
      <c r="O229" s="21">
        <f t="shared" si="64"/>
        <v>0.94664930782047341</v>
      </c>
      <c r="P229" s="21">
        <f t="shared" si="65"/>
        <v>0.86398126371643491</v>
      </c>
      <c r="Q229" s="21">
        <f t="shared" si="66"/>
        <v>0.9919910134346358</v>
      </c>
      <c r="R229" s="21">
        <f t="shared" si="67"/>
        <v>0.95708673564521296</v>
      </c>
      <c r="S229" s="21">
        <f t="shared" si="68"/>
        <v>0.88961779106104</v>
      </c>
      <c r="T229" s="21">
        <f t="shared" si="69"/>
        <v>0.99332137615943372</v>
      </c>
      <c r="U229" s="21">
        <f t="shared" si="70"/>
        <v>0.9641088758637566</v>
      </c>
      <c r="V229" s="21">
        <f t="shared" si="71"/>
        <v>0.90713004130020858</v>
      </c>
    </row>
    <row r="230" spans="1:22" x14ac:dyDescent="0.25">
      <c r="A230" t="str">
        <f>Tabelle2!A246</f>
        <v xml:space="preserve"> Velonasaur</v>
      </c>
      <c r="B230">
        <f>Tabelle2!$N246+(B$11*Tabelle2!$O246)</f>
        <v>2475</v>
      </c>
      <c r="C230">
        <f>Tabelle2!$N246+(C$11*Tabelle2!$O246)</f>
        <v>13500</v>
      </c>
      <c r="D230">
        <f>Tabelle2!$N246+(D$11*Tabelle2!$O246)</f>
        <v>36000</v>
      </c>
      <c r="E230" s="21">
        <f t="shared" si="54"/>
        <v>0.9273849470291804</v>
      </c>
      <c r="F230" s="21">
        <f t="shared" si="55"/>
        <v>0.66285481077973496</v>
      </c>
      <c r="G230" s="21">
        <f t="shared" si="56"/>
        <v>0.33402766187509492</v>
      </c>
      <c r="H230" s="21">
        <f t="shared" si="57"/>
        <v>0.96300827983417692</v>
      </c>
      <c r="I230" s="21">
        <f t="shared" si="58"/>
        <v>0.81415895915953351</v>
      </c>
      <c r="J230" s="21">
        <f t="shared" si="59"/>
        <v>0.57795126254304086</v>
      </c>
      <c r="K230" s="21">
        <f t="shared" si="60"/>
        <v>0.9751842551722173</v>
      </c>
      <c r="L230" s="21">
        <f t="shared" si="61"/>
        <v>0.87191229986424956</v>
      </c>
      <c r="M230" s="21">
        <f t="shared" si="62"/>
        <v>0.69384236099543783</v>
      </c>
      <c r="N230" s="21">
        <f t="shared" si="63"/>
        <v>0.98132985271730977</v>
      </c>
      <c r="O230" s="21">
        <f t="shared" si="64"/>
        <v>0.90230757458836264</v>
      </c>
      <c r="P230" s="21">
        <f t="shared" si="65"/>
        <v>0.76023105865456508</v>
      </c>
      <c r="Q230" s="21">
        <f t="shared" si="66"/>
        <v>0.98503578580358775</v>
      </c>
      <c r="R230" s="21">
        <f t="shared" si="67"/>
        <v>0.92105100871166823</v>
      </c>
      <c r="S230" s="21">
        <f t="shared" si="68"/>
        <v>0.80307570329807754</v>
      </c>
      <c r="T230" s="21">
        <f t="shared" si="69"/>
        <v>0.9875141797322291</v>
      </c>
      <c r="U230" s="21">
        <f t="shared" si="70"/>
        <v>0.93376244295015931</v>
      </c>
      <c r="V230" s="21">
        <f t="shared" si="71"/>
        <v>0.83297200492899992</v>
      </c>
    </row>
    <row r="231" spans="1:22" x14ac:dyDescent="0.25">
      <c r="A231" t="str">
        <f>Tabelle2!A247</f>
        <v xml:space="preserve"> Voidwyrm</v>
      </c>
      <c r="B231">
        <f>Tabelle2!$N247+(B$11*Tabelle2!$O247)</f>
        <v>1980</v>
      </c>
      <c r="C231">
        <f>Tabelle2!$N247+(C$11*Tabelle2!$O247)</f>
        <v>10800</v>
      </c>
      <c r="D231">
        <f>Tabelle2!$N247+(D$11*Tabelle2!$O247)</f>
        <v>28800</v>
      </c>
      <c r="E231" s="21">
        <f t="shared" si="54"/>
        <v>0.94147335598840609</v>
      </c>
      <c r="F231" s="21">
        <f t="shared" si="55"/>
        <v>0.7196722054589697</v>
      </c>
      <c r="G231" s="21">
        <f t="shared" si="56"/>
        <v>0.41593545976214608</v>
      </c>
      <c r="H231" s="21">
        <f t="shared" si="57"/>
        <v>0.97029549931369152</v>
      </c>
      <c r="I231" s="21">
        <f t="shared" si="58"/>
        <v>0.84833496064878156</v>
      </c>
      <c r="J231" s="21">
        <f t="shared" si="59"/>
        <v>0.64493058522770197</v>
      </c>
      <c r="K231" s="21">
        <f t="shared" si="60"/>
        <v>0.98009764263406507</v>
      </c>
      <c r="L231" s="21">
        <f t="shared" si="61"/>
        <v>0.89614491199698143</v>
      </c>
      <c r="M231" s="21">
        <f t="shared" si="62"/>
        <v>0.74646362405304778</v>
      </c>
      <c r="N231" s="21">
        <f t="shared" si="63"/>
        <v>0.98503578580358775</v>
      </c>
      <c r="O231" s="21">
        <f t="shared" si="64"/>
        <v>0.92105100871166823</v>
      </c>
      <c r="P231" s="21">
        <f t="shared" si="65"/>
        <v>0.80307570329807754</v>
      </c>
      <c r="Q231" s="21">
        <f t="shared" si="66"/>
        <v>0.98801060630641035</v>
      </c>
      <c r="R231" s="21">
        <f t="shared" si="67"/>
        <v>0.93632570447531271</v>
      </c>
      <c r="S231" s="21">
        <f t="shared" si="68"/>
        <v>0.83908351603754072</v>
      </c>
      <c r="T231" s="21">
        <f t="shared" si="69"/>
        <v>0.98999880941042806</v>
      </c>
      <c r="U231" s="21">
        <f t="shared" si="70"/>
        <v>0.94664930782047341</v>
      </c>
      <c r="V231" s="21">
        <f t="shared" si="71"/>
        <v>0.86398126371643491</v>
      </c>
    </row>
    <row r="232" spans="1:22" x14ac:dyDescent="0.25">
      <c r="A232" t="str">
        <f>Tabelle2!A248</f>
        <v xml:space="preserve"> Vulture</v>
      </c>
      <c r="B232">
        <f>Tabelle2!$N248+(B$11*Tabelle2!$O248)</f>
        <v>990</v>
      </c>
      <c r="C232">
        <f>Tabelle2!$N248+(C$11*Tabelle2!$O248)</f>
        <v>5400</v>
      </c>
      <c r="D232">
        <f>Tabelle2!$N248+(D$11*Tabelle2!$O248)</f>
        <v>14400</v>
      </c>
      <c r="E232" s="21">
        <f t="shared" si="54"/>
        <v>0.97029549931369152</v>
      </c>
      <c r="F232" s="21">
        <f t="shared" si="55"/>
        <v>0.84833496064878156</v>
      </c>
      <c r="G232" s="21">
        <f t="shared" si="56"/>
        <v>0.64493058522770197</v>
      </c>
      <c r="H232" s="21">
        <f t="shared" si="57"/>
        <v>0.98503578580358775</v>
      </c>
      <c r="I232" s="21">
        <f t="shared" si="58"/>
        <v>0.92105100871166823</v>
      </c>
      <c r="J232" s="21">
        <f t="shared" si="59"/>
        <v>0.80307570329807754</v>
      </c>
      <c r="K232" s="21">
        <f t="shared" si="60"/>
        <v>0.98999880941042806</v>
      </c>
      <c r="L232" s="21">
        <f t="shared" si="61"/>
        <v>0.94664930782047341</v>
      </c>
      <c r="M232" s="21">
        <f t="shared" si="62"/>
        <v>0.86398126371643491</v>
      </c>
      <c r="N232" s="21">
        <f t="shared" si="63"/>
        <v>0.99248969052760827</v>
      </c>
      <c r="O232" s="21">
        <f t="shared" si="64"/>
        <v>0.9597140244425254</v>
      </c>
      <c r="P232" s="21">
        <f t="shared" si="65"/>
        <v>0.89614491199698143</v>
      </c>
      <c r="Q232" s="21">
        <f t="shared" si="66"/>
        <v>0.99398722643020432</v>
      </c>
      <c r="R232" s="21">
        <f t="shared" si="67"/>
        <v>0.96763924293887171</v>
      </c>
      <c r="S232" s="21">
        <f t="shared" si="68"/>
        <v>0.91601501954800979</v>
      </c>
      <c r="T232" s="21">
        <f t="shared" si="69"/>
        <v>0.99498683881266892</v>
      </c>
      <c r="U232" s="21">
        <f t="shared" si="70"/>
        <v>0.9729590473501305</v>
      </c>
      <c r="V232" s="21">
        <f t="shared" si="71"/>
        <v>0.92950592451927649</v>
      </c>
    </row>
    <row r="233" spans="1:22" x14ac:dyDescent="0.25">
      <c r="A233" t="str">
        <f>Tabelle2!A249</f>
        <v xml:space="preserve"> Woolly Rhino</v>
      </c>
      <c r="B233">
        <f>Tabelle2!$N249+(B$11*Tabelle2!$O249)</f>
        <v>3300</v>
      </c>
      <c r="C233">
        <f>Tabelle2!$N249+(C$11*Tabelle2!$O249)</f>
        <v>18000</v>
      </c>
      <c r="D233">
        <f>Tabelle2!$N249+(D$11*Tabelle2!$O249)</f>
        <v>48000</v>
      </c>
      <c r="E233" s="21">
        <f t="shared" si="54"/>
        <v>0.90437119882657746</v>
      </c>
      <c r="F233" s="21">
        <f t="shared" si="55"/>
        <v>0.57795126254304086</v>
      </c>
      <c r="G233" s="21">
        <f t="shared" si="56"/>
        <v>0.2317625415532017</v>
      </c>
      <c r="H233" s="21">
        <f t="shared" si="57"/>
        <v>0.9509843315357922</v>
      </c>
      <c r="I233" s="21">
        <f t="shared" si="58"/>
        <v>0.76023105865456508</v>
      </c>
      <c r="J233" s="21">
        <f t="shared" si="59"/>
        <v>0.48141722191172354</v>
      </c>
      <c r="K233" s="21">
        <f t="shared" si="60"/>
        <v>0.96704995196103694</v>
      </c>
      <c r="L233" s="21">
        <f t="shared" si="61"/>
        <v>0.83297200492899992</v>
      </c>
      <c r="M233" s="21">
        <f t="shared" si="62"/>
        <v>0.61425365346268557</v>
      </c>
      <c r="N233" s="21">
        <f t="shared" si="63"/>
        <v>0.9751842551722173</v>
      </c>
      <c r="O233" s="21">
        <f t="shared" si="64"/>
        <v>0.87191229986424956</v>
      </c>
      <c r="P233" s="21">
        <f t="shared" si="65"/>
        <v>0.69384236099543783</v>
      </c>
      <c r="Q233" s="21">
        <f t="shared" si="66"/>
        <v>0.98009764263406507</v>
      </c>
      <c r="R233" s="21">
        <f t="shared" si="67"/>
        <v>0.89614491199698143</v>
      </c>
      <c r="S233" s="21">
        <f t="shared" si="68"/>
        <v>0.74646362405304778</v>
      </c>
      <c r="T233" s="21">
        <f t="shared" si="69"/>
        <v>0.9833869797597673</v>
      </c>
      <c r="U233" s="21">
        <f t="shared" si="70"/>
        <v>0.91267299999999996</v>
      </c>
      <c r="V233" s="21">
        <f t="shared" si="71"/>
        <v>0.78374335943769602</v>
      </c>
    </row>
    <row r="234" spans="1:22" x14ac:dyDescent="0.25">
      <c r="A234" t="str">
        <f>Tabelle2!A250</f>
        <v xml:space="preserve"> Wyvern</v>
      </c>
      <c r="B234">
        <f>Tabelle2!$N250+(B$11*Tabelle2!$O250)</f>
        <v>1980</v>
      </c>
      <c r="C234">
        <f>Tabelle2!$N250+(C$11*Tabelle2!$O250)</f>
        <v>10800</v>
      </c>
      <c r="D234">
        <f>Tabelle2!$N250+(D$11*Tabelle2!$O250)</f>
        <v>28800</v>
      </c>
      <c r="E234" s="21">
        <f t="shared" si="54"/>
        <v>0.94147335598840609</v>
      </c>
      <c r="F234" s="21">
        <f t="shared" si="55"/>
        <v>0.7196722054589697</v>
      </c>
      <c r="G234" s="21">
        <f t="shared" si="56"/>
        <v>0.41593545976214608</v>
      </c>
      <c r="H234" s="21">
        <f t="shared" si="57"/>
        <v>0.97029549931369152</v>
      </c>
      <c r="I234" s="21">
        <f t="shared" si="58"/>
        <v>0.84833496064878156</v>
      </c>
      <c r="J234" s="21">
        <f t="shared" si="59"/>
        <v>0.64493058522770197</v>
      </c>
      <c r="K234" s="21">
        <f t="shared" si="60"/>
        <v>0.98009764263406507</v>
      </c>
      <c r="L234" s="21">
        <f t="shared" si="61"/>
        <v>0.89614491199698143</v>
      </c>
      <c r="M234" s="21">
        <f t="shared" si="62"/>
        <v>0.74646362405304778</v>
      </c>
      <c r="N234" s="21">
        <f t="shared" si="63"/>
        <v>0.98503578580358775</v>
      </c>
      <c r="O234" s="21">
        <f t="shared" si="64"/>
        <v>0.92105100871166823</v>
      </c>
      <c r="P234" s="21">
        <f t="shared" si="65"/>
        <v>0.80307570329807754</v>
      </c>
      <c r="Q234" s="21">
        <f t="shared" si="66"/>
        <v>0.98801060630641035</v>
      </c>
      <c r="R234" s="21">
        <f t="shared" si="67"/>
        <v>0.93632570447531271</v>
      </c>
      <c r="S234" s="21">
        <f t="shared" si="68"/>
        <v>0.83908351603754072</v>
      </c>
      <c r="T234" s="21">
        <f t="shared" si="69"/>
        <v>0.98999880941042806</v>
      </c>
      <c r="U234" s="21">
        <f t="shared" si="70"/>
        <v>0.94664930782047341</v>
      </c>
      <c r="V234" s="21">
        <f t="shared" si="71"/>
        <v>0.86398126371643491</v>
      </c>
    </row>
    <row r="235" spans="1:22" x14ac:dyDescent="0.25">
      <c r="A235" t="str">
        <f>Tabelle2!A251</f>
        <v xml:space="preserve"> Wyvern</v>
      </c>
      <c r="B235">
        <f>Tabelle2!$N251+(B$11*Tabelle2!$O251)</f>
        <v>1980</v>
      </c>
      <c r="C235">
        <f>Tabelle2!$N251+(C$11*Tabelle2!$O251)</f>
        <v>10800</v>
      </c>
      <c r="D235">
        <f>Tabelle2!$N251+(D$11*Tabelle2!$O251)</f>
        <v>28800</v>
      </c>
      <c r="E235" s="21">
        <f t="shared" si="54"/>
        <v>0.94147335598840609</v>
      </c>
      <c r="F235" s="21">
        <f t="shared" si="55"/>
        <v>0.7196722054589697</v>
      </c>
      <c r="G235" s="21">
        <f t="shared" si="56"/>
        <v>0.41593545976214608</v>
      </c>
      <c r="H235" s="21">
        <f t="shared" si="57"/>
        <v>0.97029549931369152</v>
      </c>
      <c r="I235" s="21">
        <f t="shared" si="58"/>
        <v>0.84833496064878156</v>
      </c>
      <c r="J235" s="21">
        <f t="shared" si="59"/>
        <v>0.64493058522770197</v>
      </c>
      <c r="K235" s="21">
        <f t="shared" si="60"/>
        <v>0.98009764263406507</v>
      </c>
      <c r="L235" s="21">
        <f t="shared" si="61"/>
        <v>0.89614491199698143</v>
      </c>
      <c r="M235" s="21">
        <f t="shared" si="62"/>
        <v>0.74646362405304778</v>
      </c>
      <c r="N235" s="21">
        <f t="shared" si="63"/>
        <v>0.98503578580358775</v>
      </c>
      <c r="O235" s="21">
        <f t="shared" si="64"/>
        <v>0.92105100871166823</v>
      </c>
      <c r="P235" s="21">
        <f t="shared" si="65"/>
        <v>0.80307570329807754</v>
      </c>
      <c r="Q235" s="21">
        <f t="shared" si="66"/>
        <v>0.98801060630641035</v>
      </c>
      <c r="R235" s="21">
        <f t="shared" si="67"/>
        <v>0.93632570447531271</v>
      </c>
      <c r="S235" s="21">
        <f t="shared" si="68"/>
        <v>0.83908351603754072</v>
      </c>
      <c r="T235" s="21">
        <f t="shared" si="69"/>
        <v>0.98999880941042806</v>
      </c>
      <c r="U235" s="21">
        <f t="shared" si="70"/>
        <v>0.94664930782047341</v>
      </c>
      <c r="V235" s="21">
        <f t="shared" si="71"/>
        <v>0.86398126371643491</v>
      </c>
    </row>
    <row r="236" spans="1:22" x14ac:dyDescent="0.25">
      <c r="A236" t="str">
        <f>Tabelle2!A252</f>
        <v xml:space="preserve"> Wyvern</v>
      </c>
      <c r="B236">
        <f>Tabelle2!$N252+(B$11*Tabelle2!$O252)</f>
        <v>1980</v>
      </c>
      <c r="C236">
        <f>Tabelle2!$N252+(C$11*Tabelle2!$O252)</f>
        <v>10800</v>
      </c>
      <c r="D236">
        <f>Tabelle2!$N252+(D$11*Tabelle2!$O252)</f>
        <v>28800</v>
      </c>
      <c r="E236" s="21">
        <f t="shared" si="54"/>
        <v>0.94147335598840609</v>
      </c>
      <c r="F236" s="21">
        <f t="shared" si="55"/>
        <v>0.7196722054589697</v>
      </c>
      <c r="G236" s="21">
        <f t="shared" si="56"/>
        <v>0.41593545976214608</v>
      </c>
      <c r="H236" s="21">
        <f t="shared" si="57"/>
        <v>0.97029549931369152</v>
      </c>
      <c r="I236" s="21">
        <f t="shared" si="58"/>
        <v>0.84833496064878156</v>
      </c>
      <c r="J236" s="21">
        <f t="shared" si="59"/>
        <v>0.64493058522770197</v>
      </c>
      <c r="K236" s="21">
        <f t="shared" si="60"/>
        <v>0.98009764263406507</v>
      </c>
      <c r="L236" s="21">
        <f t="shared" si="61"/>
        <v>0.89614491199698143</v>
      </c>
      <c r="M236" s="21">
        <f t="shared" si="62"/>
        <v>0.74646362405304778</v>
      </c>
      <c r="N236" s="21">
        <f t="shared" si="63"/>
        <v>0.98503578580358775</v>
      </c>
      <c r="O236" s="21">
        <f t="shared" si="64"/>
        <v>0.92105100871166823</v>
      </c>
      <c r="P236" s="21">
        <f t="shared" si="65"/>
        <v>0.80307570329807754</v>
      </c>
      <c r="Q236" s="21">
        <f t="shared" si="66"/>
        <v>0.98801060630641035</v>
      </c>
      <c r="R236" s="21">
        <f t="shared" si="67"/>
        <v>0.93632570447531271</v>
      </c>
      <c r="S236" s="21">
        <f t="shared" si="68"/>
        <v>0.83908351603754072</v>
      </c>
      <c r="T236" s="21">
        <f t="shared" si="69"/>
        <v>0.98999880941042806</v>
      </c>
      <c r="U236" s="21">
        <f t="shared" si="70"/>
        <v>0.94664930782047341</v>
      </c>
      <c r="V236" s="21">
        <f t="shared" si="71"/>
        <v>0.86398126371643491</v>
      </c>
    </row>
    <row r="237" spans="1:22" x14ac:dyDescent="0.25">
      <c r="A237" t="str">
        <f>Tabelle2!A253</f>
        <v xml:space="preserve"> Yi Ling</v>
      </c>
      <c r="B237">
        <f>Tabelle2!$N253+(B$11*Tabelle2!$O253)</f>
        <v>1320</v>
      </c>
      <c r="C237">
        <f>Tabelle2!$N253+(C$11*Tabelle2!$O253)</f>
        <v>7200</v>
      </c>
      <c r="D237">
        <f>Tabelle2!$N253+(D$11*Tabelle2!$O253)</f>
        <v>19200</v>
      </c>
      <c r="E237" s="21">
        <f t="shared" si="54"/>
        <v>0.96059138909685149</v>
      </c>
      <c r="F237" s="21">
        <f t="shared" si="55"/>
        <v>0.80307570329807754</v>
      </c>
      <c r="G237" s="21">
        <f t="shared" si="56"/>
        <v>0.55720794203440982</v>
      </c>
      <c r="H237" s="21">
        <f t="shared" si="57"/>
        <v>0.98009764263406507</v>
      </c>
      <c r="I237" s="21">
        <f t="shared" si="58"/>
        <v>0.89614491199698143</v>
      </c>
      <c r="J237" s="21">
        <f t="shared" si="59"/>
        <v>0.74646362405304778</v>
      </c>
      <c r="K237" s="21">
        <f t="shared" si="60"/>
        <v>0.98668735633527116</v>
      </c>
      <c r="L237" s="21">
        <f t="shared" si="61"/>
        <v>0.92950592451927649</v>
      </c>
      <c r="M237" s="21">
        <f t="shared" si="62"/>
        <v>0.82288491182931811</v>
      </c>
      <c r="N237" s="21">
        <f t="shared" si="63"/>
        <v>0.98999880941042806</v>
      </c>
      <c r="O237" s="21">
        <f t="shared" si="64"/>
        <v>0.94664930782047341</v>
      </c>
      <c r="P237" s="21">
        <f t="shared" si="65"/>
        <v>0.86398126371643491</v>
      </c>
      <c r="Q237" s="21">
        <f t="shared" si="66"/>
        <v>0.9919910134346358</v>
      </c>
      <c r="R237" s="21">
        <f t="shared" si="67"/>
        <v>0.95708673564521296</v>
      </c>
      <c r="S237" s="21">
        <f t="shared" si="68"/>
        <v>0.88961779106104</v>
      </c>
      <c r="T237" s="21">
        <f t="shared" si="69"/>
        <v>0.99332137615943372</v>
      </c>
      <c r="U237" s="21">
        <f t="shared" si="70"/>
        <v>0.9641088758637566</v>
      </c>
      <c r="V237" s="21">
        <f t="shared" si="71"/>
        <v>0.90713004130020858</v>
      </c>
    </row>
    <row r="238" spans="1:22" x14ac:dyDescent="0.25">
      <c r="A238" t="str">
        <f>Tabelle2!A254</f>
        <v xml:space="preserve"> Yutyrannus</v>
      </c>
      <c r="B238">
        <f>Tabelle2!$N254+(B$11*Tabelle2!$O254)</f>
        <v>3300</v>
      </c>
      <c r="C238">
        <f>Tabelle2!$N254+(C$11*Tabelle2!$O254)</f>
        <v>18000</v>
      </c>
      <c r="D238">
        <f>Tabelle2!$N254+(D$11*Tabelle2!$O254)</f>
        <v>48000</v>
      </c>
      <c r="E238" s="21">
        <f t="shared" si="54"/>
        <v>0.90437119882657746</v>
      </c>
      <c r="F238" s="21">
        <f t="shared" si="55"/>
        <v>0.57795126254304086</v>
      </c>
      <c r="G238" s="21">
        <f t="shared" si="56"/>
        <v>0.2317625415532017</v>
      </c>
      <c r="H238" s="21">
        <f t="shared" si="57"/>
        <v>0.9509843315357922</v>
      </c>
      <c r="I238" s="21">
        <f t="shared" si="58"/>
        <v>0.76023105865456508</v>
      </c>
      <c r="J238" s="21">
        <f t="shared" si="59"/>
        <v>0.48141722191172354</v>
      </c>
      <c r="K238" s="21">
        <f t="shared" si="60"/>
        <v>0.96704995196103694</v>
      </c>
      <c r="L238" s="21">
        <f t="shared" si="61"/>
        <v>0.83297200492899992</v>
      </c>
      <c r="M238" s="21">
        <f t="shared" si="62"/>
        <v>0.61425365346268557</v>
      </c>
      <c r="N238" s="21">
        <f t="shared" si="63"/>
        <v>0.9751842551722173</v>
      </c>
      <c r="O238" s="21">
        <f t="shared" si="64"/>
        <v>0.87191229986424956</v>
      </c>
      <c r="P238" s="21">
        <f t="shared" si="65"/>
        <v>0.69384236099543783</v>
      </c>
      <c r="Q238" s="21">
        <f t="shared" si="66"/>
        <v>0.98009764263406507</v>
      </c>
      <c r="R238" s="21">
        <f t="shared" si="67"/>
        <v>0.89614491199698143</v>
      </c>
      <c r="S238" s="21">
        <f t="shared" si="68"/>
        <v>0.74646362405304778</v>
      </c>
      <c r="T238" s="21">
        <f t="shared" si="69"/>
        <v>0.9833869797597673</v>
      </c>
      <c r="U238" s="21">
        <f t="shared" si="70"/>
        <v>0.91267299999999996</v>
      </c>
      <c r="V238" s="21">
        <f t="shared" si="71"/>
        <v>0.78374335943769602</v>
      </c>
    </row>
    <row r="239" spans="1:22" x14ac:dyDescent="0.25">
      <c r="A239">
        <f>Tabelle2!A255</f>
        <v>0</v>
      </c>
      <c r="B239">
        <f>Tabelle2!$N255+(B$11*Tabelle2!$O255)</f>
        <v>0</v>
      </c>
      <c r="C239">
        <f>Tabelle2!$N255+(C$11*Tabelle2!$O255)</f>
        <v>0</v>
      </c>
      <c r="D239">
        <f>Tabelle2!$N255+(D$11*Tabelle2!$O255)</f>
        <v>0</v>
      </c>
      <c r="E239" s="21">
        <f t="shared" si="54"/>
        <v>1</v>
      </c>
      <c r="F239" s="21">
        <f t="shared" si="55"/>
        <v>1</v>
      </c>
      <c r="G239" s="21">
        <f t="shared" si="56"/>
        <v>1</v>
      </c>
      <c r="H239" s="21">
        <f t="shared" si="57"/>
        <v>1</v>
      </c>
      <c r="I239" s="21">
        <f t="shared" si="58"/>
        <v>1</v>
      </c>
      <c r="J239" s="21">
        <f t="shared" si="59"/>
        <v>1</v>
      </c>
      <c r="K239" s="21">
        <f t="shared" si="60"/>
        <v>1</v>
      </c>
      <c r="L239" s="21">
        <f t="shared" si="61"/>
        <v>1</v>
      </c>
      <c r="M239" s="21">
        <f t="shared" si="62"/>
        <v>1</v>
      </c>
      <c r="N239" s="21">
        <f t="shared" si="63"/>
        <v>1</v>
      </c>
      <c r="O239" s="21">
        <f t="shared" si="64"/>
        <v>1</v>
      </c>
      <c r="P239" s="21">
        <f t="shared" si="65"/>
        <v>1</v>
      </c>
      <c r="Q239" s="21">
        <f t="shared" si="66"/>
        <v>1</v>
      </c>
      <c r="R239" s="21">
        <f t="shared" si="67"/>
        <v>1</v>
      </c>
      <c r="S239" s="21">
        <f t="shared" si="68"/>
        <v>1</v>
      </c>
      <c r="T239" s="21">
        <f t="shared" si="69"/>
        <v>1</v>
      </c>
      <c r="U239" s="21">
        <f t="shared" si="70"/>
        <v>1</v>
      </c>
      <c r="V239" s="21">
        <f t="shared" si="71"/>
        <v>1</v>
      </c>
    </row>
    <row r="240" spans="1:22" x14ac:dyDescent="0.25">
      <c r="A240">
        <f>Tabelle2!A256</f>
        <v>0</v>
      </c>
      <c r="B240">
        <f>Tabelle2!$N256+(B$11*Tabelle2!$O256)</f>
        <v>0</v>
      </c>
      <c r="C240">
        <f>Tabelle2!$N256+(C$11*Tabelle2!$O256)</f>
        <v>0</v>
      </c>
      <c r="D240">
        <f>Tabelle2!$N256+(D$11*Tabelle2!$O256)</f>
        <v>0</v>
      </c>
      <c r="E240" s="21">
        <f t="shared" si="54"/>
        <v>1</v>
      </c>
      <c r="F240" s="21">
        <f t="shared" si="55"/>
        <v>1</v>
      </c>
      <c r="G240" s="21">
        <f t="shared" si="56"/>
        <v>1</v>
      </c>
      <c r="H240" s="21">
        <f t="shared" si="57"/>
        <v>1</v>
      </c>
      <c r="I240" s="21">
        <f t="shared" si="58"/>
        <v>1</v>
      </c>
      <c r="J240" s="21">
        <f t="shared" si="59"/>
        <v>1</v>
      </c>
      <c r="K240" s="21">
        <f t="shared" si="60"/>
        <v>1</v>
      </c>
      <c r="L240" s="21">
        <f t="shared" si="61"/>
        <v>1</v>
      </c>
      <c r="M240" s="21">
        <f t="shared" si="62"/>
        <v>1</v>
      </c>
      <c r="N240" s="21">
        <f t="shared" si="63"/>
        <v>1</v>
      </c>
      <c r="O240" s="21">
        <f t="shared" si="64"/>
        <v>1</v>
      </c>
      <c r="P240" s="21">
        <f t="shared" si="65"/>
        <v>1</v>
      </c>
      <c r="Q240" s="21">
        <f t="shared" si="66"/>
        <v>1</v>
      </c>
      <c r="R240" s="21">
        <f t="shared" si="67"/>
        <v>1</v>
      </c>
      <c r="S240" s="21">
        <f t="shared" si="68"/>
        <v>1</v>
      </c>
      <c r="T240" s="21">
        <f t="shared" si="69"/>
        <v>1</v>
      </c>
      <c r="U240" s="21">
        <f t="shared" si="70"/>
        <v>1</v>
      </c>
      <c r="V240" s="21">
        <f t="shared" si="71"/>
        <v>1</v>
      </c>
    </row>
    <row r="241" spans="1:22" x14ac:dyDescent="0.25">
      <c r="A241">
        <f>Tabelle2!A257</f>
        <v>0</v>
      </c>
      <c r="B241">
        <f>Tabelle2!$N257+(B$11*Tabelle2!$O257)</f>
        <v>0</v>
      </c>
      <c r="C241">
        <f>Tabelle2!$N257+(C$11*Tabelle2!$O257)</f>
        <v>0</v>
      </c>
      <c r="D241">
        <f>Tabelle2!$N257+(D$11*Tabelle2!$O257)</f>
        <v>0</v>
      </c>
      <c r="E241" s="21">
        <f t="shared" si="54"/>
        <v>1</v>
      </c>
      <c r="F241" s="21">
        <f t="shared" si="55"/>
        <v>1</v>
      </c>
      <c r="G241" s="21">
        <f t="shared" si="56"/>
        <v>1</v>
      </c>
      <c r="H241" s="21">
        <f t="shared" si="57"/>
        <v>1</v>
      </c>
      <c r="I241" s="21">
        <f t="shared" si="58"/>
        <v>1</v>
      </c>
      <c r="J241" s="21">
        <f t="shared" si="59"/>
        <v>1</v>
      </c>
      <c r="K241" s="21">
        <f t="shared" si="60"/>
        <v>1</v>
      </c>
      <c r="L241" s="21">
        <f t="shared" si="61"/>
        <v>1</v>
      </c>
      <c r="M241" s="21">
        <f t="shared" si="62"/>
        <v>1</v>
      </c>
      <c r="N241" s="21">
        <f t="shared" si="63"/>
        <v>1</v>
      </c>
      <c r="O241" s="21">
        <f t="shared" si="64"/>
        <v>1</v>
      </c>
      <c r="P241" s="21">
        <f t="shared" si="65"/>
        <v>1</v>
      </c>
      <c r="Q241" s="21">
        <f t="shared" si="66"/>
        <v>1</v>
      </c>
      <c r="R241" s="21">
        <f t="shared" si="67"/>
        <v>1</v>
      </c>
      <c r="S241" s="21">
        <f t="shared" si="68"/>
        <v>1</v>
      </c>
      <c r="T241" s="21">
        <f t="shared" si="69"/>
        <v>1</v>
      </c>
      <c r="U241" s="21">
        <f t="shared" si="70"/>
        <v>1</v>
      </c>
      <c r="V241" s="21">
        <f t="shared" si="71"/>
        <v>1</v>
      </c>
    </row>
    <row r="242" spans="1:22" x14ac:dyDescent="0.25">
      <c r="A242">
        <f>Tabelle2!A258</f>
        <v>0</v>
      </c>
      <c r="B242">
        <f>Tabelle2!$N258+(B$11*Tabelle2!$O258)</f>
        <v>0</v>
      </c>
      <c r="C242">
        <f>Tabelle2!$N258+(C$11*Tabelle2!$O258)</f>
        <v>0</v>
      </c>
      <c r="D242">
        <f>Tabelle2!$N258+(D$11*Tabelle2!$O258)</f>
        <v>0</v>
      </c>
      <c r="E242" s="21">
        <f t="shared" si="54"/>
        <v>1</v>
      </c>
      <c r="F242" s="21">
        <f t="shared" si="55"/>
        <v>1</v>
      </c>
      <c r="G242" s="21">
        <f t="shared" si="56"/>
        <v>1</v>
      </c>
      <c r="H242" s="21">
        <f t="shared" si="57"/>
        <v>1</v>
      </c>
      <c r="I242" s="21">
        <f t="shared" si="58"/>
        <v>1</v>
      </c>
      <c r="J242" s="21">
        <f t="shared" si="59"/>
        <v>1</v>
      </c>
      <c r="K242" s="21">
        <f t="shared" si="60"/>
        <v>1</v>
      </c>
      <c r="L242" s="21">
        <f t="shared" si="61"/>
        <v>1</v>
      </c>
      <c r="M242" s="21">
        <f t="shared" si="62"/>
        <v>1</v>
      </c>
      <c r="N242" s="21">
        <f t="shared" si="63"/>
        <v>1</v>
      </c>
      <c r="O242" s="21">
        <f t="shared" si="64"/>
        <v>1</v>
      </c>
      <c r="P242" s="21">
        <f t="shared" si="65"/>
        <v>1</v>
      </c>
      <c r="Q242" s="21">
        <f t="shared" si="66"/>
        <v>1</v>
      </c>
      <c r="R242" s="21">
        <f t="shared" si="67"/>
        <v>1</v>
      </c>
      <c r="S242" s="21">
        <f t="shared" si="68"/>
        <v>1</v>
      </c>
      <c r="T242" s="21">
        <f t="shared" si="69"/>
        <v>1</v>
      </c>
      <c r="U242" s="21">
        <f t="shared" si="70"/>
        <v>1</v>
      </c>
      <c r="V242" s="21">
        <f t="shared" si="71"/>
        <v>1</v>
      </c>
    </row>
    <row r="243" spans="1:22" x14ac:dyDescent="0.25">
      <c r="A243">
        <f>Tabelle2!A259</f>
        <v>0</v>
      </c>
      <c r="B243">
        <f>Tabelle2!$N259+(B$11*Tabelle2!$O259)</f>
        <v>0</v>
      </c>
      <c r="C243">
        <f>Tabelle2!$N259+(C$11*Tabelle2!$O259)</f>
        <v>0</v>
      </c>
      <c r="D243">
        <f>Tabelle2!$N259+(D$11*Tabelle2!$O259)</f>
        <v>0</v>
      </c>
      <c r="E243" s="21">
        <f t="shared" si="54"/>
        <v>1</v>
      </c>
      <c r="F243" s="21">
        <f t="shared" si="55"/>
        <v>1</v>
      </c>
      <c r="G243" s="21">
        <f t="shared" si="56"/>
        <v>1</v>
      </c>
      <c r="H243" s="21">
        <f t="shared" si="57"/>
        <v>1</v>
      </c>
      <c r="I243" s="21">
        <f t="shared" si="58"/>
        <v>1</v>
      </c>
      <c r="J243" s="21">
        <f t="shared" si="59"/>
        <v>1</v>
      </c>
      <c r="K243" s="21">
        <f t="shared" si="60"/>
        <v>1</v>
      </c>
      <c r="L243" s="21">
        <f t="shared" si="61"/>
        <v>1</v>
      </c>
      <c r="M243" s="21">
        <f t="shared" si="62"/>
        <v>1</v>
      </c>
      <c r="N243" s="21">
        <f t="shared" si="63"/>
        <v>1</v>
      </c>
      <c r="O243" s="21">
        <f t="shared" si="64"/>
        <v>1</v>
      </c>
      <c r="P243" s="21">
        <f t="shared" si="65"/>
        <v>1</v>
      </c>
      <c r="Q243" s="21">
        <f t="shared" si="66"/>
        <v>1</v>
      </c>
      <c r="R243" s="21">
        <f t="shared" si="67"/>
        <v>1</v>
      </c>
      <c r="S243" s="21">
        <f t="shared" si="68"/>
        <v>1</v>
      </c>
      <c r="T243" s="21">
        <f t="shared" si="69"/>
        <v>1</v>
      </c>
      <c r="U243" s="21">
        <f t="shared" si="70"/>
        <v>1</v>
      </c>
      <c r="V243" s="21">
        <f t="shared" si="71"/>
        <v>1</v>
      </c>
    </row>
    <row r="244" spans="1:22" x14ac:dyDescent="0.25">
      <c r="A244">
        <f>Tabelle2!A260</f>
        <v>0</v>
      </c>
      <c r="B244">
        <f>Tabelle2!$N260+(B$11*Tabelle2!$O260)</f>
        <v>0</v>
      </c>
      <c r="C244">
        <f>Tabelle2!$N260+(C$11*Tabelle2!$O260)</f>
        <v>0</v>
      </c>
      <c r="D244">
        <f>Tabelle2!$N260+(D$11*Tabelle2!$O260)</f>
        <v>0</v>
      </c>
      <c r="E244" s="21">
        <f t="shared" si="54"/>
        <v>1</v>
      </c>
      <c r="F244" s="21">
        <f t="shared" si="55"/>
        <v>1</v>
      </c>
      <c r="G244" s="21">
        <f t="shared" si="56"/>
        <v>1</v>
      </c>
      <c r="H244" s="21">
        <f t="shared" si="57"/>
        <v>1</v>
      </c>
      <c r="I244" s="21">
        <f t="shared" si="58"/>
        <v>1</v>
      </c>
      <c r="J244" s="21">
        <f t="shared" si="59"/>
        <v>1</v>
      </c>
      <c r="K244" s="21">
        <f t="shared" si="60"/>
        <v>1</v>
      </c>
      <c r="L244" s="21">
        <f t="shared" si="61"/>
        <v>1</v>
      </c>
      <c r="M244" s="21">
        <f t="shared" si="62"/>
        <v>1</v>
      </c>
      <c r="N244" s="21">
        <f t="shared" si="63"/>
        <v>1</v>
      </c>
      <c r="O244" s="21">
        <f t="shared" si="64"/>
        <v>1</v>
      </c>
      <c r="P244" s="21">
        <f t="shared" si="65"/>
        <v>1</v>
      </c>
      <c r="Q244" s="21">
        <f t="shared" si="66"/>
        <v>1</v>
      </c>
      <c r="R244" s="21">
        <f t="shared" si="67"/>
        <v>1</v>
      </c>
      <c r="S244" s="21">
        <f t="shared" si="68"/>
        <v>1</v>
      </c>
      <c r="T244" s="21">
        <f t="shared" si="69"/>
        <v>1</v>
      </c>
      <c r="U244" s="21">
        <f t="shared" si="70"/>
        <v>1</v>
      </c>
      <c r="V244" s="21">
        <f t="shared" si="71"/>
        <v>1</v>
      </c>
    </row>
    <row r="245" spans="1:22" x14ac:dyDescent="0.25">
      <c r="A245">
        <f>Tabelle2!A261</f>
        <v>0</v>
      </c>
      <c r="B245">
        <f>Tabelle2!$N261+(B$11*Tabelle2!$O261)</f>
        <v>0</v>
      </c>
      <c r="C245">
        <f>Tabelle2!$N261+(C$11*Tabelle2!$O261)</f>
        <v>0</v>
      </c>
      <c r="D245">
        <f>Tabelle2!$N261+(D$11*Tabelle2!$O261)</f>
        <v>0</v>
      </c>
      <c r="E245" s="21">
        <f t="shared" si="54"/>
        <v>1</v>
      </c>
      <c r="F245" s="21">
        <f t="shared" si="55"/>
        <v>1</v>
      </c>
      <c r="G245" s="21">
        <f t="shared" si="56"/>
        <v>1</v>
      </c>
      <c r="H245" s="21">
        <f t="shared" si="57"/>
        <v>1</v>
      </c>
      <c r="I245" s="21">
        <f t="shared" si="58"/>
        <v>1</v>
      </c>
      <c r="J245" s="21">
        <f t="shared" si="59"/>
        <v>1</v>
      </c>
      <c r="K245" s="21">
        <f t="shared" si="60"/>
        <v>1</v>
      </c>
      <c r="L245" s="21">
        <f t="shared" si="61"/>
        <v>1</v>
      </c>
      <c r="M245" s="21">
        <f t="shared" si="62"/>
        <v>1</v>
      </c>
      <c r="N245" s="21">
        <f t="shared" si="63"/>
        <v>1</v>
      </c>
      <c r="O245" s="21">
        <f t="shared" si="64"/>
        <v>1</v>
      </c>
      <c r="P245" s="21">
        <f t="shared" si="65"/>
        <v>1</v>
      </c>
      <c r="Q245" s="21">
        <f t="shared" si="66"/>
        <v>1</v>
      </c>
      <c r="R245" s="21">
        <f t="shared" si="67"/>
        <v>1</v>
      </c>
      <c r="S245" s="21">
        <f t="shared" si="68"/>
        <v>1</v>
      </c>
      <c r="T245" s="21">
        <f t="shared" si="69"/>
        <v>1</v>
      </c>
      <c r="U245" s="21">
        <f t="shared" si="70"/>
        <v>1</v>
      </c>
      <c r="V245" s="21">
        <f t="shared" si="71"/>
        <v>1</v>
      </c>
    </row>
    <row r="246" spans="1:22" x14ac:dyDescent="0.25">
      <c r="A246">
        <f>Tabelle2!A262</f>
        <v>0</v>
      </c>
      <c r="B246">
        <f>Tabelle2!$N262+(B$11*Tabelle2!$O262)</f>
        <v>0</v>
      </c>
      <c r="C246">
        <f>Tabelle2!$N262+(C$11*Tabelle2!$O262)</f>
        <v>0</v>
      </c>
      <c r="D246">
        <f>Tabelle2!$N262+(D$11*Tabelle2!$O262)</f>
        <v>0</v>
      </c>
      <c r="E246" s="21">
        <f t="shared" si="54"/>
        <v>1</v>
      </c>
      <c r="F246" s="21">
        <f t="shared" si="55"/>
        <v>1</v>
      </c>
      <c r="G246" s="21">
        <f t="shared" si="56"/>
        <v>1</v>
      </c>
      <c r="H246" s="21">
        <f t="shared" si="57"/>
        <v>1</v>
      </c>
      <c r="I246" s="21">
        <f t="shared" si="58"/>
        <v>1</v>
      </c>
      <c r="J246" s="21">
        <f t="shared" si="59"/>
        <v>1</v>
      </c>
      <c r="K246" s="21">
        <f t="shared" si="60"/>
        <v>1</v>
      </c>
      <c r="L246" s="21">
        <f t="shared" si="61"/>
        <v>1</v>
      </c>
      <c r="M246" s="21">
        <f t="shared" si="62"/>
        <v>1</v>
      </c>
      <c r="N246" s="21">
        <f t="shared" si="63"/>
        <v>1</v>
      </c>
      <c r="O246" s="21">
        <f t="shared" si="64"/>
        <v>1</v>
      </c>
      <c r="P246" s="21">
        <f t="shared" si="65"/>
        <v>1</v>
      </c>
      <c r="Q246" s="21">
        <f t="shared" si="66"/>
        <v>1</v>
      </c>
      <c r="R246" s="21">
        <f t="shared" si="67"/>
        <v>1</v>
      </c>
      <c r="S246" s="21">
        <f t="shared" si="68"/>
        <v>1</v>
      </c>
      <c r="T246" s="21">
        <f t="shared" si="69"/>
        <v>1</v>
      </c>
      <c r="U246" s="21">
        <f t="shared" si="70"/>
        <v>1</v>
      </c>
      <c r="V246" s="21">
        <f t="shared" si="71"/>
        <v>1</v>
      </c>
    </row>
    <row r="247" spans="1:22" x14ac:dyDescent="0.25">
      <c r="A247">
        <f>Tabelle2!A263</f>
        <v>0</v>
      </c>
      <c r="B247">
        <f>Tabelle2!$N263+(B$11*Tabelle2!$O263)</f>
        <v>0</v>
      </c>
      <c r="C247">
        <f>Tabelle2!$N263+(C$11*Tabelle2!$O263)</f>
        <v>0</v>
      </c>
      <c r="D247">
        <f>Tabelle2!$N263+(D$11*Tabelle2!$O263)</f>
        <v>0</v>
      </c>
      <c r="E247" s="21">
        <f t="shared" si="54"/>
        <v>1</v>
      </c>
      <c r="F247" s="21">
        <f t="shared" si="55"/>
        <v>1</v>
      </c>
      <c r="G247" s="21">
        <f t="shared" si="56"/>
        <v>1</v>
      </c>
      <c r="H247" s="21">
        <f t="shared" si="57"/>
        <v>1</v>
      </c>
      <c r="I247" s="21">
        <f t="shared" si="58"/>
        <v>1</v>
      </c>
      <c r="J247" s="21">
        <f t="shared" si="59"/>
        <v>1</v>
      </c>
      <c r="K247" s="21">
        <f t="shared" si="60"/>
        <v>1</v>
      </c>
      <c r="L247" s="21">
        <f t="shared" si="61"/>
        <v>1</v>
      </c>
      <c r="M247" s="21">
        <f t="shared" si="62"/>
        <v>1</v>
      </c>
      <c r="N247" s="21">
        <f t="shared" si="63"/>
        <v>1</v>
      </c>
      <c r="O247" s="21">
        <f t="shared" si="64"/>
        <v>1</v>
      </c>
      <c r="P247" s="21">
        <f t="shared" si="65"/>
        <v>1</v>
      </c>
      <c r="Q247" s="21">
        <f t="shared" si="66"/>
        <v>1</v>
      </c>
      <c r="R247" s="21">
        <f t="shared" si="67"/>
        <v>1</v>
      </c>
      <c r="S247" s="21">
        <f t="shared" si="68"/>
        <v>1</v>
      </c>
      <c r="T247" s="21">
        <f t="shared" si="69"/>
        <v>1</v>
      </c>
      <c r="U247" s="21">
        <f t="shared" si="70"/>
        <v>1</v>
      </c>
      <c r="V247" s="21">
        <f t="shared" si="71"/>
        <v>1</v>
      </c>
    </row>
    <row r="248" spans="1:22" x14ac:dyDescent="0.25">
      <c r="A248">
        <f>Tabelle2!A264</f>
        <v>0</v>
      </c>
      <c r="B248">
        <f>Tabelle2!$N264+(B$11*Tabelle2!$O264)</f>
        <v>0</v>
      </c>
      <c r="C248">
        <f>Tabelle2!$N264+(C$11*Tabelle2!$O264)</f>
        <v>0</v>
      </c>
      <c r="D248">
        <f>Tabelle2!$N264+(D$11*Tabelle2!$O264)</f>
        <v>0</v>
      </c>
      <c r="E248" s="21">
        <f t="shared" si="54"/>
        <v>1</v>
      </c>
      <c r="F248" s="21">
        <f t="shared" si="55"/>
        <v>1</v>
      </c>
      <c r="G248" s="21">
        <f t="shared" si="56"/>
        <v>1</v>
      </c>
      <c r="H248" s="21">
        <f t="shared" si="57"/>
        <v>1</v>
      </c>
      <c r="I248" s="21">
        <f t="shared" si="58"/>
        <v>1</v>
      </c>
      <c r="J248" s="21">
        <f t="shared" si="59"/>
        <v>1</v>
      </c>
      <c r="K248" s="21">
        <f t="shared" si="60"/>
        <v>1</v>
      </c>
      <c r="L248" s="21">
        <f t="shared" si="61"/>
        <v>1</v>
      </c>
      <c r="M248" s="21">
        <f t="shared" si="62"/>
        <v>1</v>
      </c>
      <c r="N248" s="21">
        <f t="shared" si="63"/>
        <v>1</v>
      </c>
      <c r="O248" s="21">
        <f t="shared" si="64"/>
        <v>1</v>
      </c>
      <c r="P248" s="21">
        <f t="shared" si="65"/>
        <v>1</v>
      </c>
      <c r="Q248" s="21">
        <f t="shared" si="66"/>
        <v>1</v>
      </c>
      <c r="R248" s="21">
        <f t="shared" si="67"/>
        <v>1</v>
      </c>
      <c r="S248" s="21">
        <f t="shared" si="68"/>
        <v>1</v>
      </c>
      <c r="T248" s="21">
        <f t="shared" si="69"/>
        <v>1</v>
      </c>
      <c r="U248" s="21">
        <f t="shared" si="70"/>
        <v>1</v>
      </c>
      <c r="V248" s="21">
        <f t="shared" si="71"/>
        <v>1</v>
      </c>
    </row>
    <row r="249" spans="1:22" x14ac:dyDescent="0.25">
      <c r="A249">
        <f>Tabelle2!A265</f>
        <v>0</v>
      </c>
      <c r="B249">
        <f>Tabelle2!$N265+(B$11*Tabelle2!$O265)</f>
        <v>0</v>
      </c>
      <c r="C249">
        <f>Tabelle2!$N265+(C$11*Tabelle2!$O265)</f>
        <v>0</v>
      </c>
      <c r="D249">
        <f>Tabelle2!$N265+(D$11*Tabelle2!$O265)</f>
        <v>0</v>
      </c>
      <c r="E249" s="21">
        <f t="shared" si="54"/>
        <v>1</v>
      </c>
      <c r="F249" s="21">
        <f t="shared" si="55"/>
        <v>1</v>
      </c>
      <c r="G249" s="21">
        <f t="shared" si="56"/>
        <v>1</v>
      </c>
      <c r="H249" s="21">
        <f t="shared" si="57"/>
        <v>1</v>
      </c>
      <c r="I249" s="21">
        <f t="shared" si="58"/>
        <v>1</v>
      </c>
      <c r="J249" s="21">
        <f t="shared" si="59"/>
        <v>1</v>
      </c>
      <c r="K249" s="21">
        <f t="shared" si="60"/>
        <v>1</v>
      </c>
      <c r="L249" s="21">
        <f t="shared" si="61"/>
        <v>1</v>
      </c>
      <c r="M249" s="21">
        <f t="shared" si="62"/>
        <v>1</v>
      </c>
      <c r="N249" s="21">
        <f t="shared" si="63"/>
        <v>1</v>
      </c>
      <c r="O249" s="21">
        <f t="shared" si="64"/>
        <v>1</v>
      </c>
      <c r="P249" s="21">
        <f t="shared" si="65"/>
        <v>1</v>
      </c>
      <c r="Q249" s="21">
        <f t="shared" si="66"/>
        <v>1</v>
      </c>
      <c r="R249" s="21">
        <f t="shared" si="67"/>
        <v>1</v>
      </c>
      <c r="S249" s="21">
        <f t="shared" si="68"/>
        <v>1</v>
      </c>
      <c r="T249" s="21">
        <f t="shared" si="69"/>
        <v>1</v>
      </c>
      <c r="U249" s="21">
        <f t="shared" si="70"/>
        <v>1</v>
      </c>
      <c r="V249" s="21">
        <f t="shared" si="71"/>
        <v>1</v>
      </c>
    </row>
    <row r="250" spans="1:22" x14ac:dyDescent="0.25">
      <c r="A250">
        <f>Tabelle2!A266</f>
        <v>0</v>
      </c>
      <c r="B250">
        <f>Tabelle2!$N266+(B$11*Tabelle2!$O266)</f>
        <v>0</v>
      </c>
      <c r="C250">
        <f>Tabelle2!$N266+(C$11*Tabelle2!$O266)</f>
        <v>0</v>
      </c>
      <c r="D250">
        <f>Tabelle2!$N266+(D$11*Tabelle2!$O266)</f>
        <v>0</v>
      </c>
      <c r="E250" s="21">
        <f t="shared" si="54"/>
        <v>1</v>
      </c>
      <c r="F250" s="21">
        <f t="shared" si="55"/>
        <v>1</v>
      </c>
      <c r="G250" s="21">
        <f t="shared" si="56"/>
        <v>1</v>
      </c>
      <c r="H250" s="21">
        <f t="shared" si="57"/>
        <v>1</v>
      </c>
      <c r="I250" s="21">
        <f t="shared" si="58"/>
        <v>1</v>
      </c>
      <c r="J250" s="21">
        <f t="shared" si="59"/>
        <v>1</v>
      </c>
      <c r="K250" s="21">
        <f t="shared" si="60"/>
        <v>1</v>
      </c>
      <c r="L250" s="21">
        <f t="shared" si="61"/>
        <v>1</v>
      </c>
      <c r="M250" s="21">
        <f t="shared" si="62"/>
        <v>1</v>
      </c>
      <c r="N250" s="21">
        <f t="shared" si="63"/>
        <v>1</v>
      </c>
      <c r="O250" s="21">
        <f t="shared" si="64"/>
        <v>1</v>
      </c>
      <c r="P250" s="21">
        <f t="shared" si="65"/>
        <v>1</v>
      </c>
      <c r="Q250" s="21">
        <f t="shared" si="66"/>
        <v>1</v>
      </c>
      <c r="R250" s="21">
        <f t="shared" si="67"/>
        <v>1</v>
      </c>
      <c r="S250" s="21">
        <f t="shared" si="68"/>
        <v>1</v>
      </c>
      <c r="T250" s="21">
        <f t="shared" si="69"/>
        <v>1</v>
      </c>
      <c r="U250" s="21">
        <f t="shared" si="70"/>
        <v>1</v>
      </c>
      <c r="V250" s="21">
        <f t="shared" si="71"/>
        <v>1</v>
      </c>
    </row>
    <row r="251" spans="1:22" x14ac:dyDescent="0.25">
      <c r="A251">
        <f>Tabelle2!A267</f>
        <v>0</v>
      </c>
      <c r="B251">
        <f>Tabelle2!$N267+(B$11*Tabelle2!$O267)</f>
        <v>0</v>
      </c>
      <c r="C251">
        <f>Tabelle2!$N267+(C$11*Tabelle2!$O267)</f>
        <v>0</v>
      </c>
      <c r="D251">
        <f>Tabelle2!$N267+(D$11*Tabelle2!$O267)</f>
        <v>0</v>
      </c>
      <c r="E251" s="21">
        <f t="shared" si="54"/>
        <v>1</v>
      </c>
      <c r="F251" s="21">
        <f t="shared" si="55"/>
        <v>1</v>
      </c>
      <c r="G251" s="21">
        <f t="shared" si="56"/>
        <v>1</v>
      </c>
      <c r="H251" s="21">
        <f t="shared" si="57"/>
        <v>1</v>
      </c>
      <c r="I251" s="21">
        <f t="shared" si="58"/>
        <v>1</v>
      </c>
      <c r="J251" s="21">
        <f t="shared" si="59"/>
        <v>1</v>
      </c>
      <c r="K251" s="21">
        <f t="shared" si="60"/>
        <v>1</v>
      </c>
      <c r="L251" s="21">
        <f t="shared" si="61"/>
        <v>1</v>
      </c>
      <c r="M251" s="21">
        <f t="shared" si="62"/>
        <v>1</v>
      </c>
      <c r="N251" s="21">
        <f t="shared" si="63"/>
        <v>1</v>
      </c>
      <c r="O251" s="21">
        <f t="shared" si="64"/>
        <v>1</v>
      </c>
      <c r="P251" s="21">
        <f t="shared" si="65"/>
        <v>1</v>
      </c>
      <c r="Q251" s="21">
        <f t="shared" si="66"/>
        <v>1</v>
      </c>
      <c r="R251" s="21">
        <f t="shared" si="67"/>
        <v>1</v>
      </c>
      <c r="S251" s="21">
        <f t="shared" si="68"/>
        <v>1</v>
      </c>
      <c r="T251" s="21">
        <f t="shared" si="69"/>
        <v>1</v>
      </c>
      <c r="U251" s="21">
        <f t="shared" si="70"/>
        <v>1</v>
      </c>
      <c r="V251" s="21">
        <f t="shared" si="71"/>
        <v>1</v>
      </c>
    </row>
    <row r="252" spans="1:22" x14ac:dyDescent="0.25">
      <c r="A252">
        <f>Tabelle2!A268</f>
        <v>0</v>
      </c>
      <c r="B252">
        <f>Tabelle2!$N268+(B$11*Tabelle2!$O268)</f>
        <v>0</v>
      </c>
      <c r="C252">
        <f>Tabelle2!$N268+(C$11*Tabelle2!$O268)</f>
        <v>0</v>
      </c>
      <c r="D252">
        <f>Tabelle2!$N268+(D$11*Tabelle2!$O268)</f>
        <v>0</v>
      </c>
      <c r="E252" s="21">
        <f t="shared" si="54"/>
        <v>1</v>
      </c>
      <c r="F252" s="21">
        <f t="shared" si="55"/>
        <v>1</v>
      </c>
      <c r="G252" s="21">
        <f t="shared" si="56"/>
        <v>1</v>
      </c>
      <c r="H252" s="21">
        <f t="shared" si="57"/>
        <v>1</v>
      </c>
      <c r="I252" s="21">
        <f t="shared" si="58"/>
        <v>1</v>
      </c>
      <c r="J252" s="21">
        <f t="shared" si="59"/>
        <v>1</v>
      </c>
      <c r="K252" s="21">
        <f t="shared" si="60"/>
        <v>1</v>
      </c>
      <c r="L252" s="21">
        <f t="shared" si="61"/>
        <v>1</v>
      </c>
      <c r="M252" s="21">
        <f t="shared" si="62"/>
        <v>1</v>
      </c>
      <c r="N252" s="21">
        <f t="shared" si="63"/>
        <v>1</v>
      </c>
      <c r="O252" s="21">
        <f t="shared" si="64"/>
        <v>1</v>
      </c>
      <c r="P252" s="21">
        <f t="shared" si="65"/>
        <v>1</v>
      </c>
      <c r="Q252" s="21">
        <f t="shared" si="66"/>
        <v>1</v>
      </c>
      <c r="R252" s="21">
        <f t="shared" si="67"/>
        <v>1</v>
      </c>
      <c r="S252" s="21">
        <f t="shared" si="68"/>
        <v>1</v>
      </c>
      <c r="T252" s="21">
        <f t="shared" si="69"/>
        <v>1</v>
      </c>
      <c r="U252" s="21">
        <f t="shared" si="70"/>
        <v>1</v>
      </c>
      <c r="V252" s="21">
        <f t="shared" si="71"/>
        <v>1</v>
      </c>
    </row>
    <row r="253" spans="1:22" x14ac:dyDescent="0.25">
      <c r="A253">
        <f>Tabelle2!A269</f>
        <v>0</v>
      </c>
      <c r="B253">
        <f>Tabelle2!$N269+(B$11*Tabelle2!$O269)</f>
        <v>0</v>
      </c>
      <c r="C253">
        <f>Tabelle2!$N269+(C$11*Tabelle2!$O269)</f>
        <v>0</v>
      </c>
      <c r="D253">
        <f>Tabelle2!$N269+(D$11*Tabelle2!$O269)</f>
        <v>0</v>
      </c>
      <c r="E253" s="21">
        <f t="shared" si="54"/>
        <v>1</v>
      </c>
      <c r="F253" s="21">
        <f t="shared" si="55"/>
        <v>1</v>
      </c>
      <c r="G253" s="21">
        <f t="shared" si="56"/>
        <v>1</v>
      </c>
      <c r="H253" s="21">
        <f t="shared" si="57"/>
        <v>1</v>
      </c>
      <c r="I253" s="21">
        <f t="shared" si="58"/>
        <v>1</v>
      </c>
      <c r="J253" s="21">
        <f t="shared" si="59"/>
        <v>1</v>
      </c>
      <c r="K253" s="21">
        <f t="shared" si="60"/>
        <v>1</v>
      </c>
      <c r="L253" s="21">
        <f t="shared" si="61"/>
        <v>1</v>
      </c>
      <c r="M253" s="21">
        <f t="shared" si="62"/>
        <v>1</v>
      </c>
      <c r="N253" s="21">
        <f t="shared" si="63"/>
        <v>1</v>
      </c>
      <c r="O253" s="21">
        <f t="shared" si="64"/>
        <v>1</v>
      </c>
      <c r="P253" s="21">
        <f t="shared" si="65"/>
        <v>1</v>
      </c>
      <c r="Q253" s="21">
        <f t="shared" si="66"/>
        <v>1</v>
      </c>
      <c r="R253" s="21">
        <f t="shared" si="67"/>
        <v>1</v>
      </c>
      <c r="S253" s="21">
        <f t="shared" si="68"/>
        <v>1</v>
      </c>
      <c r="T253" s="21">
        <f t="shared" si="69"/>
        <v>1</v>
      </c>
      <c r="U253" s="21">
        <f t="shared" si="70"/>
        <v>1</v>
      </c>
      <c r="V253" s="21">
        <f t="shared" si="71"/>
        <v>1</v>
      </c>
    </row>
    <row r="254" spans="1:22" x14ac:dyDescent="0.25">
      <c r="A254">
        <f>Tabelle2!A270</f>
        <v>0</v>
      </c>
      <c r="B254">
        <f>Tabelle2!$N270+(B$11*Tabelle2!$O270)</f>
        <v>0</v>
      </c>
      <c r="C254">
        <f>Tabelle2!$N270+(C$11*Tabelle2!$O270)</f>
        <v>0</v>
      </c>
      <c r="D254">
        <f>Tabelle2!$N270+(D$11*Tabelle2!$O270)</f>
        <v>0</v>
      </c>
      <c r="E254" s="21">
        <f t="shared" si="54"/>
        <v>1</v>
      </c>
      <c r="F254" s="21">
        <f t="shared" si="55"/>
        <v>1</v>
      </c>
      <c r="G254" s="21">
        <f t="shared" si="56"/>
        <v>1</v>
      </c>
      <c r="H254" s="21">
        <f t="shared" si="57"/>
        <v>1</v>
      </c>
      <c r="I254" s="21">
        <f t="shared" si="58"/>
        <v>1</v>
      </c>
      <c r="J254" s="21">
        <f t="shared" si="59"/>
        <v>1</v>
      </c>
      <c r="K254" s="21">
        <f t="shared" si="60"/>
        <v>1</v>
      </c>
      <c r="L254" s="21">
        <f t="shared" si="61"/>
        <v>1</v>
      </c>
      <c r="M254" s="21">
        <f t="shared" si="62"/>
        <v>1</v>
      </c>
      <c r="N254" s="21">
        <f t="shared" si="63"/>
        <v>1</v>
      </c>
      <c r="O254" s="21">
        <f t="shared" si="64"/>
        <v>1</v>
      </c>
      <c r="P254" s="21">
        <f t="shared" si="65"/>
        <v>1</v>
      </c>
      <c r="Q254" s="21">
        <f t="shared" si="66"/>
        <v>1</v>
      </c>
      <c r="R254" s="21">
        <f t="shared" si="67"/>
        <v>1</v>
      </c>
      <c r="S254" s="21">
        <f t="shared" si="68"/>
        <v>1</v>
      </c>
      <c r="T254" s="21">
        <f t="shared" si="69"/>
        <v>1</v>
      </c>
      <c r="U254" s="21">
        <f t="shared" si="70"/>
        <v>1</v>
      </c>
      <c r="V254" s="21">
        <f t="shared" si="71"/>
        <v>1</v>
      </c>
    </row>
    <row r="255" spans="1:22" x14ac:dyDescent="0.25">
      <c r="A255">
        <f>Tabelle2!A271</f>
        <v>0</v>
      </c>
      <c r="B255">
        <f>Tabelle2!$N271+(B$11*Tabelle2!$O271)</f>
        <v>0</v>
      </c>
      <c r="C255">
        <f>Tabelle2!$N271+(C$11*Tabelle2!$O271)</f>
        <v>0</v>
      </c>
      <c r="D255">
        <f>Tabelle2!$N271+(D$11*Tabelle2!$O271)</f>
        <v>0</v>
      </c>
      <c r="E255" s="21">
        <f t="shared" si="54"/>
        <v>1</v>
      </c>
      <c r="F255" s="21">
        <f t="shared" si="55"/>
        <v>1</v>
      </c>
      <c r="G255" s="21">
        <f t="shared" si="56"/>
        <v>1</v>
      </c>
      <c r="H255" s="21">
        <f t="shared" si="57"/>
        <v>1</v>
      </c>
      <c r="I255" s="21">
        <f t="shared" si="58"/>
        <v>1</v>
      </c>
      <c r="J255" s="21">
        <f t="shared" si="59"/>
        <v>1</v>
      </c>
      <c r="K255" s="21">
        <f t="shared" si="60"/>
        <v>1</v>
      </c>
      <c r="L255" s="21">
        <f t="shared" si="61"/>
        <v>1</v>
      </c>
      <c r="M255" s="21">
        <f t="shared" si="62"/>
        <v>1</v>
      </c>
      <c r="N255" s="21">
        <f t="shared" si="63"/>
        <v>1</v>
      </c>
      <c r="O255" s="21">
        <f t="shared" si="64"/>
        <v>1</v>
      </c>
      <c r="P255" s="21">
        <f t="shared" si="65"/>
        <v>1</v>
      </c>
      <c r="Q255" s="21">
        <f t="shared" si="66"/>
        <v>1</v>
      </c>
      <c r="R255" s="21">
        <f t="shared" si="67"/>
        <v>1</v>
      </c>
      <c r="S255" s="21">
        <f t="shared" si="68"/>
        <v>1</v>
      </c>
      <c r="T255" s="21">
        <f t="shared" si="69"/>
        <v>1</v>
      </c>
      <c r="U255" s="21">
        <f t="shared" si="70"/>
        <v>1</v>
      </c>
      <c r="V255" s="21">
        <f t="shared" si="71"/>
        <v>1</v>
      </c>
    </row>
    <row r="256" spans="1:22" x14ac:dyDescent="0.25">
      <c r="A256">
        <f>Tabelle2!A272</f>
        <v>0</v>
      </c>
      <c r="B256">
        <f>Tabelle2!$N272+(B$11*Tabelle2!$O272)</f>
        <v>0</v>
      </c>
      <c r="C256">
        <f>Tabelle2!$N272+(C$11*Tabelle2!$O272)</f>
        <v>0</v>
      </c>
      <c r="D256">
        <f>Tabelle2!$N272+(D$11*Tabelle2!$O272)</f>
        <v>0</v>
      </c>
      <c r="E256" s="21">
        <f t="shared" si="54"/>
        <v>1</v>
      </c>
      <c r="F256" s="21">
        <f t="shared" si="55"/>
        <v>1</v>
      </c>
      <c r="G256" s="21">
        <f t="shared" si="56"/>
        <v>1</v>
      </c>
      <c r="H256" s="21">
        <f t="shared" si="57"/>
        <v>1</v>
      </c>
      <c r="I256" s="21">
        <f t="shared" si="58"/>
        <v>1</v>
      </c>
      <c r="J256" s="21">
        <f t="shared" si="59"/>
        <v>1</v>
      </c>
      <c r="K256" s="21">
        <f t="shared" si="60"/>
        <v>1</v>
      </c>
      <c r="L256" s="21">
        <f t="shared" si="61"/>
        <v>1</v>
      </c>
      <c r="M256" s="21">
        <f t="shared" si="62"/>
        <v>1</v>
      </c>
      <c r="N256" s="21">
        <f t="shared" si="63"/>
        <v>1</v>
      </c>
      <c r="O256" s="21">
        <f t="shared" si="64"/>
        <v>1</v>
      </c>
      <c r="P256" s="21">
        <f t="shared" si="65"/>
        <v>1</v>
      </c>
      <c r="Q256" s="21">
        <f t="shared" si="66"/>
        <v>1</v>
      </c>
      <c r="R256" s="21">
        <f t="shared" si="67"/>
        <v>1</v>
      </c>
      <c r="S256" s="21">
        <f t="shared" si="68"/>
        <v>1</v>
      </c>
      <c r="T256" s="21">
        <f t="shared" si="69"/>
        <v>1</v>
      </c>
      <c r="U256" s="21">
        <f t="shared" si="70"/>
        <v>1</v>
      </c>
      <c r="V256" s="21">
        <f t="shared" si="71"/>
        <v>1</v>
      </c>
    </row>
    <row r="257" spans="1:22" x14ac:dyDescent="0.25">
      <c r="A257">
        <f>Tabelle2!A273</f>
        <v>0</v>
      </c>
      <c r="B257">
        <f>Tabelle2!$N273+(B$11*Tabelle2!$O273)</f>
        <v>0</v>
      </c>
      <c r="C257">
        <f>Tabelle2!$N273+(C$11*Tabelle2!$O273)</f>
        <v>0</v>
      </c>
      <c r="D257">
        <f>Tabelle2!$N273+(D$11*Tabelle2!$O273)</f>
        <v>0</v>
      </c>
      <c r="E257" s="21">
        <f t="shared" si="54"/>
        <v>1</v>
      </c>
      <c r="F257" s="21">
        <f t="shared" si="55"/>
        <v>1</v>
      </c>
      <c r="G257" s="21">
        <f t="shared" si="56"/>
        <v>1</v>
      </c>
      <c r="H257" s="21">
        <f t="shared" si="57"/>
        <v>1</v>
      </c>
      <c r="I257" s="21">
        <f t="shared" si="58"/>
        <v>1</v>
      </c>
      <c r="J257" s="21">
        <f t="shared" si="59"/>
        <v>1</v>
      </c>
      <c r="K257" s="21">
        <f t="shared" si="60"/>
        <v>1</v>
      </c>
      <c r="L257" s="21">
        <f t="shared" si="61"/>
        <v>1</v>
      </c>
      <c r="M257" s="21">
        <f t="shared" si="62"/>
        <v>1</v>
      </c>
      <c r="N257" s="21">
        <f t="shared" si="63"/>
        <v>1</v>
      </c>
      <c r="O257" s="21">
        <f t="shared" si="64"/>
        <v>1</v>
      </c>
      <c r="P257" s="21">
        <f t="shared" si="65"/>
        <v>1</v>
      </c>
      <c r="Q257" s="21">
        <f t="shared" si="66"/>
        <v>1</v>
      </c>
      <c r="R257" s="21">
        <f t="shared" si="67"/>
        <v>1</v>
      </c>
      <c r="S257" s="21">
        <f t="shared" si="68"/>
        <v>1</v>
      </c>
      <c r="T257" s="21">
        <f t="shared" si="69"/>
        <v>1</v>
      </c>
      <c r="U257" s="21">
        <f t="shared" si="70"/>
        <v>1</v>
      </c>
      <c r="V257" s="21">
        <f t="shared" si="71"/>
        <v>1</v>
      </c>
    </row>
    <row r="258" spans="1:22" x14ac:dyDescent="0.25">
      <c r="A258">
        <f>Tabelle2!A274</f>
        <v>0</v>
      </c>
      <c r="B258">
        <f>Tabelle2!$N274+(B$11*Tabelle2!$O274)</f>
        <v>0</v>
      </c>
      <c r="C258">
        <f>Tabelle2!$N274+(C$11*Tabelle2!$O274)</f>
        <v>0</v>
      </c>
      <c r="D258">
        <f>Tabelle2!$N274+(D$11*Tabelle2!$O274)</f>
        <v>0</v>
      </c>
      <c r="E258" s="21">
        <f t="shared" si="54"/>
        <v>1</v>
      </c>
      <c r="F258" s="21">
        <f t="shared" si="55"/>
        <v>1</v>
      </c>
      <c r="G258" s="21">
        <f t="shared" si="56"/>
        <v>1</v>
      </c>
      <c r="H258" s="21">
        <f t="shared" si="57"/>
        <v>1</v>
      </c>
      <c r="I258" s="21">
        <f t="shared" si="58"/>
        <v>1</v>
      </c>
      <c r="J258" s="21">
        <f t="shared" si="59"/>
        <v>1</v>
      </c>
      <c r="K258" s="21">
        <f t="shared" si="60"/>
        <v>1</v>
      </c>
      <c r="L258" s="21">
        <f t="shared" si="61"/>
        <v>1</v>
      </c>
      <c r="M258" s="21">
        <f t="shared" si="62"/>
        <v>1</v>
      </c>
      <c r="N258" s="21">
        <f t="shared" si="63"/>
        <v>1</v>
      </c>
      <c r="O258" s="21">
        <f t="shared" si="64"/>
        <v>1</v>
      </c>
      <c r="P258" s="21">
        <f t="shared" si="65"/>
        <v>1</v>
      </c>
      <c r="Q258" s="21">
        <f t="shared" si="66"/>
        <v>1</v>
      </c>
      <c r="R258" s="21">
        <f t="shared" si="67"/>
        <v>1</v>
      </c>
      <c r="S258" s="21">
        <f t="shared" si="68"/>
        <v>1</v>
      </c>
      <c r="T258" s="21">
        <f t="shared" si="69"/>
        <v>1</v>
      </c>
      <c r="U258" s="21">
        <f t="shared" si="70"/>
        <v>1</v>
      </c>
      <c r="V258" s="21">
        <f t="shared" si="71"/>
        <v>1</v>
      </c>
    </row>
    <row r="259" spans="1:22" x14ac:dyDescent="0.25">
      <c r="A259">
        <f>Tabelle2!A275</f>
        <v>0</v>
      </c>
      <c r="B259">
        <f>Tabelle2!$N275+(B$11*Tabelle2!$O275)</f>
        <v>0</v>
      </c>
      <c r="C259">
        <f>Tabelle2!$N275+(C$11*Tabelle2!$O275)</f>
        <v>0</v>
      </c>
      <c r="D259">
        <f>Tabelle2!$N275+(D$11*Tabelle2!$O275)</f>
        <v>0</v>
      </c>
      <c r="E259" s="21">
        <f t="shared" si="54"/>
        <v>1</v>
      </c>
      <c r="F259" s="21">
        <f t="shared" si="55"/>
        <v>1</v>
      </c>
      <c r="G259" s="21">
        <f t="shared" si="56"/>
        <v>1</v>
      </c>
      <c r="H259" s="21">
        <f t="shared" si="57"/>
        <v>1</v>
      </c>
      <c r="I259" s="21">
        <f t="shared" si="58"/>
        <v>1</v>
      </c>
      <c r="J259" s="21">
        <f t="shared" si="59"/>
        <v>1</v>
      </c>
      <c r="K259" s="21">
        <f t="shared" si="60"/>
        <v>1</v>
      </c>
      <c r="L259" s="21">
        <f t="shared" si="61"/>
        <v>1</v>
      </c>
      <c r="M259" s="21">
        <f t="shared" si="62"/>
        <v>1</v>
      </c>
      <c r="N259" s="21">
        <f t="shared" si="63"/>
        <v>1</v>
      </c>
      <c r="O259" s="21">
        <f t="shared" si="64"/>
        <v>1</v>
      </c>
      <c r="P259" s="21">
        <f t="shared" si="65"/>
        <v>1</v>
      </c>
      <c r="Q259" s="21">
        <f t="shared" si="66"/>
        <v>1</v>
      </c>
      <c r="R259" s="21">
        <f t="shared" si="67"/>
        <v>1</v>
      </c>
      <c r="S259" s="21">
        <f t="shared" si="68"/>
        <v>1</v>
      </c>
      <c r="T259" s="21">
        <f t="shared" si="69"/>
        <v>1</v>
      </c>
      <c r="U259" s="21">
        <f t="shared" si="70"/>
        <v>1</v>
      </c>
      <c r="V259" s="21">
        <f t="shared" si="71"/>
        <v>1</v>
      </c>
    </row>
    <row r="260" spans="1:22" x14ac:dyDescent="0.25">
      <c r="A260">
        <f>Tabelle2!A276</f>
        <v>0</v>
      </c>
      <c r="B260">
        <f>Tabelle2!$N276+(B$11*Tabelle2!$O276)</f>
        <v>0</v>
      </c>
      <c r="C260">
        <f>Tabelle2!$N276+(C$11*Tabelle2!$O276)</f>
        <v>0</v>
      </c>
      <c r="D260">
        <f>Tabelle2!$N276+(D$11*Tabelle2!$O276)</f>
        <v>0</v>
      </c>
      <c r="E260" s="21">
        <f t="shared" si="54"/>
        <v>1</v>
      </c>
      <c r="F260" s="21">
        <f t="shared" si="55"/>
        <v>1</v>
      </c>
      <c r="G260" s="21">
        <f t="shared" si="56"/>
        <v>1</v>
      </c>
      <c r="H260" s="21">
        <f t="shared" si="57"/>
        <v>1</v>
      </c>
      <c r="I260" s="21">
        <f t="shared" si="58"/>
        <v>1</v>
      </c>
      <c r="J260" s="21">
        <f t="shared" si="59"/>
        <v>1</v>
      </c>
      <c r="K260" s="21">
        <f t="shared" si="60"/>
        <v>1</v>
      </c>
      <c r="L260" s="21">
        <f t="shared" si="61"/>
        <v>1</v>
      </c>
      <c r="M260" s="21">
        <f t="shared" si="62"/>
        <v>1</v>
      </c>
      <c r="N260" s="21">
        <f t="shared" si="63"/>
        <v>1</v>
      </c>
      <c r="O260" s="21">
        <f t="shared" si="64"/>
        <v>1</v>
      </c>
      <c r="P260" s="21">
        <f t="shared" si="65"/>
        <v>1</v>
      </c>
      <c r="Q260" s="21">
        <f t="shared" si="66"/>
        <v>1</v>
      </c>
      <c r="R260" s="21">
        <f t="shared" si="67"/>
        <v>1</v>
      </c>
      <c r="S260" s="21">
        <f t="shared" si="68"/>
        <v>1</v>
      </c>
      <c r="T260" s="21">
        <f t="shared" si="69"/>
        <v>1</v>
      </c>
      <c r="U260" s="21">
        <f t="shared" si="70"/>
        <v>1</v>
      </c>
      <c r="V260" s="21">
        <f t="shared" si="71"/>
        <v>1</v>
      </c>
    </row>
    <row r="261" spans="1:22" x14ac:dyDescent="0.25">
      <c r="A261">
        <f>Tabelle2!A277</f>
        <v>0</v>
      </c>
      <c r="B261">
        <f>Tabelle2!$N277+(B$11*Tabelle2!$O277)</f>
        <v>0</v>
      </c>
      <c r="C261">
        <f>Tabelle2!$N277+(C$11*Tabelle2!$O277)</f>
        <v>0</v>
      </c>
      <c r="D261">
        <f>Tabelle2!$N277+(D$11*Tabelle2!$O277)</f>
        <v>0</v>
      </c>
      <c r="E261" s="21">
        <f t="shared" si="54"/>
        <v>1</v>
      </c>
      <c r="F261" s="21">
        <f t="shared" si="55"/>
        <v>1</v>
      </c>
      <c r="G261" s="21">
        <f t="shared" si="56"/>
        <v>1</v>
      </c>
      <c r="H261" s="21">
        <f t="shared" si="57"/>
        <v>1</v>
      </c>
      <c r="I261" s="21">
        <f t="shared" si="58"/>
        <v>1</v>
      </c>
      <c r="J261" s="21">
        <f t="shared" si="59"/>
        <v>1</v>
      </c>
      <c r="K261" s="21">
        <f t="shared" si="60"/>
        <v>1</v>
      </c>
      <c r="L261" s="21">
        <f t="shared" si="61"/>
        <v>1</v>
      </c>
      <c r="M261" s="21">
        <f t="shared" si="62"/>
        <v>1</v>
      </c>
      <c r="N261" s="21">
        <f t="shared" si="63"/>
        <v>1</v>
      </c>
      <c r="O261" s="21">
        <f t="shared" si="64"/>
        <v>1</v>
      </c>
      <c r="P261" s="21">
        <f t="shared" si="65"/>
        <v>1</v>
      </c>
      <c r="Q261" s="21">
        <f t="shared" si="66"/>
        <v>1</v>
      </c>
      <c r="R261" s="21">
        <f t="shared" si="67"/>
        <v>1</v>
      </c>
      <c r="S261" s="21">
        <f t="shared" si="68"/>
        <v>1</v>
      </c>
      <c r="T261" s="21">
        <f t="shared" si="69"/>
        <v>1</v>
      </c>
      <c r="U261" s="21">
        <f t="shared" si="70"/>
        <v>1</v>
      </c>
      <c r="V261" s="21">
        <f t="shared" si="71"/>
        <v>1</v>
      </c>
    </row>
    <row r="262" spans="1:22" x14ac:dyDescent="0.25">
      <c r="A262">
        <f>Tabelle2!A278</f>
        <v>0</v>
      </c>
      <c r="B262">
        <f>Tabelle2!$N278+(B$11*Tabelle2!$O278)</f>
        <v>0</v>
      </c>
      <c r="C262">
        <f>Tabelle2!$N278+(C$11*Tabelle2!$O278)</f>
        <v>0</v>
      </c>
      <c r="D262">
        <f>Tabelle2!$N278+(D$11*Tabelle2!$O278)</f>
        <v>0</v>
      </c>
      <c r="E262" s="21">
        <f t="shared" si="54"/>
        <v>1</v>
      </c>
      <c r="F262" s="21">
        <f t="shared" si="55"/>
        <v>1</v>
      </c>
      <c r="G262" s="21">
        <f t="shared" si="56"/>
        <v>1</v>
      </c>
      <c r="H262" s="21">
        <f t="shared" si="57"/>
        <v>1</v>
      </c>
      <c r="I262" s="21">
        <f t="shared" si="58"/>
        <v>1</v>
      </c>
      <c r="J262" s="21">
        <f t="shared" si="59"/>
        <v>1</v>
      </c>
      <c r="K262" s="21">
        <f t="shared" si="60"/>
        <v>1</v>
      </c>
      <c r="L262" s="21">
        <f t="shared" si="61"/>
        <v>1</v>
      </c>
      <c r="M262" s="21">
        <f t="shared" si="62"/>
        <v>1</v>
      </c>
      <c r="N262" s="21">
        <f t="shared" si="63"/>
        <v>1</v>
      </c>
      <c r="O262" s="21">
        <f t="shared" si="64"/>
        <v>1</v>
      </c>
      <c r="P262" s="21">
        <f t="shared" si="65"/>
        <v>1</v>
      </c>
      <c r="Q262" s="21">
        <f t="shared" si="66"/>
        <v>1</v>
      </c>
      <c r="R262" s="21">
        <f t="shared" si="67"/>
        <v>1</v>
      </c>
      <c r="S262" s="21">
        <f t="shared" si="68"/>
        <v>1</v>
      </c>
      <c r="T262" s="21">
        <f t="shared" si="69"/>
        <v>1</v>
      </c>
      <c r="U262" s="21">
        <f t="shared" si="70"/>
        <v>1</v>
      </c>
      <c r="V262" s="21">
        <f t="shared" si="71"/>
        <v>1</v>
      </c>
    </row>
    <row r="263" spans="1:22" x14ac:dyDescent="0.25">
      <c r="A263">
        <f>Tabelle2!A279</f>
        <v>0</v>
      </c>
      <c r="B263">
        <f>Tabelle2!$N279+(B$11*Tabelle2!$O279)</f>
        <v>0</v>
      </c>
      <c r="C263">
        <f>Tabelle2!$N279+(C$11*Tabelle2!$O279)</f>
        <v>0</v>
      </c>
      <c r="D263">
        <f>Tabelle2!$N279+(D$11*Tabelle2!$O279)</f>
        <v>0</v>
      </c>
      <c r="E263" s="21">
        <f t="shared" si="54"/>
        <v>1</v>
      </c>
      <c r="F263" s="21">
        <f t="shared" si="55"/>
        <v>1</v>
      </c>
      <c r="G263" s="21">
        <f t="shared" si="56"/>
        <v>1</v>
      </c>
      <c r="H263" s="21">
        <f t="shared" si="57"/>
        <v>1</v>
      </c>
      <c r="I263" s="21">
        <f t="shared" si="58"/>
        <v>1</v>
      </c>
      <c r="J263" s="21">
        <f t="shared" si="59"/>
        <v>1</v>
      </c>
      <c r="K263" s="21">
        <f t="shared" si="60"/>
        <v>1</v>
      </c>
      <c r="L263" s="21">
        <f t="shared" si="61"/>
        <v>1</v>
      </c>
      <c r="M263" s="21">
        <f t="shared" si="62"/>
        <v>1</v>
      </c>
      <c r="N263" s="21">
        <f t="shared" si="63"/>
        <v>1</v>
      </c>
      <c r="O263" s="21">
        <f t="shared" si="64"/>
        <v>1</v>
      </c>
      <c r="P263" s="21">
        <f t="shared" si="65"/>
        <v>1</v>
      </c>
      <c r="Q263" s="21">
        <f t="shared" si="66"/>
        <v>1</v>
      </c>
      <c r="R263" s="21">
        <f t="shared" si="67"/>
        <v>1</v>
      </c>
      <c r="S263" s="21">
        <f t="shared" si="68"/>
        <v>1</v>
      </c>
      <c r="T263" s="21">
        <f t="shared" si="69"/>
        <v>1</v>
      </c>
      <c r="U263" s="21">
        <f t="shared" si="70"/>
        <v>1</v>
      </c>
      <c r="V263" s="21">
        <f t="shared" si="71"/>
        <v>1</v>
      </c>
    </row>
    <row r="264" spans="1:22" x14ac:dyDescent="0.25">
      <c r="A264">
        <f>Tabelle2!A280</f>
        <v>0</v>
      </c>
      <c r="B264">
        <f>Tabelle2!$N280+(B$11*Tabelle2!$O280)</f>
        <v>0</v>
      </c>
      <c r="C264">
        <f>Tabelle2!$N280+(C$11*Tabelle2!$O280)</f>
        <v>0</v>
      </c>
      <c r="D264">
        <f>Tabelle2!$N280+(D$11*Tabelle2!$O280)</f>
        <v>0</v>
      </c>
      <c r="E264" s="21">
        <f t="shared" si="54"/>
        <v>1</v>
      </c>
      <c r="F264" s="21">
        <f t="shared" si="55"/>
        <v>1</v>
      </c>
      <c r="G264" s="21">
        <f t="shared" si="56"/>
        <v>1</v>
      </c>
      <c r="H264" s="21">
        <f t="shared" si="57"/>
        <v>1</v>
      </c>
      <c r="I264" s="21">
        <f t="shared" si="58"/>
        <v>1</v>
      </c>
      <c r="J264" s="21">
        <f t="shared" si="59"/>
        <v>1</v>
      </c>
      <c r="K264" s="21">
        <f t="shared" si="60"/>
        <v>1</v>
      </c>
      <c r="L264" s="21">
        <f t="shared" si="61"/>
        <v>1</v>
      </c>
      <c r="M264" s="21">
        <f t="shared" si="62"/>
        <v>1</v>
      </c>
      <c r="N264" s="21">
        <f t="shared" si="63"/>
        <v>1</v>
      </c>
      <c r="O264" s="21">
        <f t="shared" si="64"/>
        <v>1</v>
      </c>
      <c r="P264" s="21">
        <f t="shared" si="65"/>
        <v>1</v>
      </c>
      <c r="Q264" s="21">
        <f t="shared" si="66"/>
        <v>1</v>
      </c>
      <c r="R264" s="21">
        <f t="shared" si="67"/>
        <v>1</v>
      </c>
      <c r="S264" s="21">
        <f t="shared" si="68"/>
        <v>1</v>
      </c>
      <c r="T264" s="21">
        <f t="shared" si="69"/>
        <v>1</v>
      </c>
      <c r="U264" s="21">
        <f t="shared" si="70"/>
        <v>1</v>
      </c>
      <c r="V264" s="21">
        <f t="shared" si="71"/>
        <v>1</v>
      </c>
    </row>
    <row r="265" spans="1:22" x14ac:dyDescent="0.25">
      <c r="A265">
        <f>Tabelle2!A281</f>
        <v>0</v>
      </c>
      <c r="B265">
        <f>Tabelle2!$N281+(B$11*Tabelle2!$O281)</f>
        <v>0</v>
      </c>
      <c r="C265">
        <f>Tabelle2!$N281+(C$11*Tabelle2!$O281)</f>
        <v>0</v>
      </c>
      <c r="D265">
        <f>Tabelle2!$N281+(D$11*Tabelle2!$O281)</f>
        <v>0</v>
      </c>
      <c r="E265" s="21">
        <f t="shared" si="54"/>
        <v>1</v>
      </c>
      <c r="F265" s="21">
        <f t="shared" si="55"/>
        <v>1</v>
      </c>
      <c r="G265" s="21">
        <f t="shared" si="56"/>
        <v>1</v>
      </c>
      <c r="H265" s="21">
        <f t="shared" si="57"/>
        <v>1</v>
      </c>
      <c r="I265" s="21">
        <f t="shared" si="58"/>
        <v>1</v>
      </c>
      <c r="J265" s="21">
        <f t="shared" si="59"/>
        <v>1</v>
      </c>
      <c r="K265" s="21">
        <f t="shared" si="60"/>
        <v>1</v>
      </c>
      <c r="L265" s="21">
        <f t="shared" si="61"/>
        <v>1</v>
      </c>
      <c r="M265" s="21">
        <f t="shared" si="62"/>
        <v>1</v>
      </c>
      <c r="N265" s="21">
        <f t="shared" si="63"/>
        <v>1</v>
      </c>
      <c r="O265" s="21">
        <f t="shared" si="64"/>
        <v>1</v>
      </c>
      <c r="P265" s="21">
        <f t="shared" si="65"/>
        <v>1</v>
      </c>
      <c r="Q265" s="21">
        <f t="shared" si="66"/>
        <v>1</v>
      </c>
      <c r="R265" s="21">
        <f t="shared" si="67"/>
        <v>1</v>
      </c>
      <c r="S265" s="21">
        <f t="shared" si="68"/>
        <v>1</v>
      </c>
      <c r="T265" s="21">
        <f t="shared" si="69"/>
        <v>1</v>
      </c>
      <c r="U265" s="21">
        <f t="shared" si="70"/>
        <v>1</v>
      </c>
      <c r="V265" s="21">
        <f t="shared" si="71"/>
        <v>1</v>
      </c>
    </row>
    <row r="266" spans="1:22" x14ac:dyDescent="0.25">
      <c r="A266">
        <f>Tabelle2!A282</f>
        <v>0</v>
      </c>
      <c r="B266">
        <f>Tabelle2!$N282+(B$11*Tabelle2!$O282)</f>
        <v>0</v>
      </c>
      <c r="C266">
        <f>Tabelle2!$N282+(C$11*Tabelle2!$O282)</f>
        <v>0</v>
      </c>
      <c r="D266">
        <f>Tabelle2!$N282+(D$11*Tabelle2!$O282)</f>
        <v>0</v>
      </c>
      <c r="E266" s="21">
        <f t="shared" si="54"/>
        <v>1</v>
      </c>
      <c r="F266" s="21">
        <f t="shared" si="55"/>
        <v>1</v>
      </c>
      <c r="G266" s="21">
        <f t="shared" si="56"/>
        <v>1</v>
      </c>
      <c r="H266" s="21">
        <f t="shared" si="57"/>
        <v>1</v>
      </c>
      <c r="I266" s="21">
        <f t="shared" si="58"/>
        <v>1</v>
      </c>
      <c r="J266" s="21">
        <f t="shared" si="59"/>
        <v>1</v>
      </c>
      <c r="K266" s="21">
        <f t="shared" si="60"/>
        <v>1</v>
      </c>
      <c r="L266" s="21">
        <f t="shared" si="61"/>
        <v>1</v>
      </c>
      <c r="M266" s="21">
        <f t="shared" si="62"/>
        <v>1</v>
      </c>
      <c r="N266" s="21">
        <f t="shared" si="63"/>
        <v>1</v>
      </c>
      <c r="O266" s="21">
        <f t="shared" si="64"/>
        <v>1</v>
      </c>
      <c r="P266" s="21">
        <f t="shared" si="65"/>
        <v>1</v>
      </c>
      <c r="Q266" s="21">
        <f t="shared" si="66"/>
        <v>1</v>
      </c>
      <c r="R266" s="21">
        <f t="shared" si="67"/>
        <v>1</v>
      </c>
      <c r="S266" s="21">
        <f t="shared" si="68"/>
        <v>1</v>
      </c>
      <c r="T266" s="21">
        <f t="shared" si="69"/>
        <v>1</v>
      </c>
      <c r="U266" s="21">
        <f t="shared" si="70"/>
        <v>1</v>
      </c>
      <c r="V266" s="21">
        <f t="shared" si="71"/>
        <v>1</v>
      </c>
    </row>
    <row r="267" spans="1:22" x14ac:dyDescent="0.25">
      <c r="A267">
        <f>Tabelle2!A283</f>
        <v>0</v>
      </c>
      <c r="B267">
        <f>Tabelle2!$N283+(B$11*Tabelle2!$O283)</f>
        <v>0</v>
      </c>
      <c r="C267">
        <f>Tabelle2!$N283+(C$11*Tabelle2!$O283)</f>
        <v>0</v>
      </c>
      <c r="D267">
        <f>Tabelle2!$N283+(D$11*Tabelle2!$O283)</f>
        <v>0</v>
      </c>
      <c r="E267" s="21">
        <f t="shared" si="54"/>
        <v>1</v>
      </c>
      <c r="F267" s="21">
        <f t="shared" si="55"/>
        <v>1</v>
      </c>
      <c r="G267" s="21">
        <f t="shared" si="56"/>
        <v>1</v>
      </c>
      <c r="H267" s="21">
        <f t="shared" si="57"/>
        <v>1</v>
      </c>
      <c r="I267" s="21">
        <f t="shared" si="58"/>
        <v>1</v>
      </c>
      <c r="J267" s="21">
        <f t="shared" si="59"/>
        <v>1</v>
      </c>
      <c r="K267" s="21">
        <f t="shared" si="60"/>
        <v>1</v>
      </c>
      <c r="L267" s="21">
        <f t="shared" si="61"/>
        <v>1</v>
      </c>
      <c r="M267" s="21">
        <f t="shared" si="62"/>
        <v>1</v>
      </c>
      <c r="N267" s="21">
        <f t="shared" si="63"/>
        <v>1</v>
      </c>
      <c r="O267" s="21">
        <f t="shared" si="64"/>
        <v>1</v>
      </c>
      <c r="P267" s="21">
        <f t="shared" si="65"/>
        <v>1</v>
      </c>
      <c r="Q267" s="21">
        <f t="shared" si="66"/>
        <v>1</v>
      </c>
      <c r="R267" s="21">
        <f t="shared" si="67"/>
        <v>1</v>
      </c>
      <c r="S267" s="21">
        <f t="shared" si="68"/>
        <v>1</v>
      </c>
      <c r="T267" s="21">
        <f t="shared" si="69"/>
        <v>1</v>
      </c>
      <c r="U267" s="21">
        <f t="shared" si="70"/>
        <v>1</v>
      </c>
      <c r="V267" s="21">
        <f t="shared" si="71"/>
        <v>1</v>
      </c>
    </row>
    <row r="268" spans="1:22" x14ac:dyDescent="0.25">
      <c r="A268">
        <f>Tabelle2!A284</f>
        <v>0</v>
      </c>
      <c r="B268">
        <f>Tabelle2!$N284+(B$11*Tabelle2!$O284)</f>
        <v>0</v>
      </c>
      <c r="C268">
        <f>Tabelle2!$N284+(C$11*Tabelle2!$O284)</f>
        <v>0</v>
      </c>
      <c r="D268">
        <f>Tabelle2!$N284+(D$11*Tabelle2!$O284)</f>
        <v>0</v>
      </c>
      <c r="E268" s="21">
        <f t="shared" si="54"/>
        <v>1</v>
      </c>
      <c r="F268" s="21">
        <f t="shared" si="55"/>
        <v>1</v>
      </c>
      <c r="G268" s="21">
        <f t="shared" si="56"/>
        <v>1</v>
      </c>
      <c r="H268" s="21">
        <f t="shared" si="57"/>
        <v>1</v>
      </c>
      <c r="I268" s="21">
        <f t="shared" si="58"/>
        <v>1</v>
      </c>
      <c r="J268" s="21">
        <f t="shared" si="59"/>
        <v>1</v>
      </c>
      <c r="K268" s="21">
        <f t="shared" si="60"/>
        <v>1</v>
      </c>
      <c r="L268" s="21">
        <f t="shared" si="61"/>
        <v>1</v>
      </c>
      <c r="M268" s="21">
        <f t="shared" si="62"/>
        <v>1</v>
      </c>
      <c r="N268" s="21">
        <f t="shared" si="63"/>
        <v>1</v>
      </c>
      <c r="O268" s="21">
        <f t="shared" si="64"/>
        <v>1</v>
      </c>
      <c r="P268" s="21">
        <f t="shared" si="65"/>
        <v>1</v>
      </c>
      <c r="Q268" s="21">
        <f t="shared" si="66"/>
        <v>1</v>
      </c>
      <c r="R268" s="21">
        <f t="shared" si="67"/>
        <v>1</v>
      </c>
      <c r="S268" s="21">
        <f t="shared" si="68"/>
        <v>1</v>
      </c>
      <c r="T268" s="21">
        <f t="shared" si="69"/>
        <v>1</v>
      </c>
      <c r="U268" s="21">
        <f t="shared" si="70"/>
        <v>1</v>
      </c>
      <c r="V268" s="21">
        <f t="shared" si="71"/>
        <v>1</v>
      </c>
    </row>
    <row r="269" spans="1:22" x14ac:dyDescent="0.25">
      <c r="A269">
        <f>Tabelle2!A285</f>
        <v>0</v>
      </c>
      <c r="B269">
        <f>Tabelle2!$N285+(B$11*Tabelle2!$O285)</f>
        <v>0</v>
      </c>
      <c r="C269">
        <f>Tabelle2!$N285+(C$11*Tabelle2!$O285)</f>
        <v>0</v>
      </c>
      <c r="D269">
        <f>Tabelle2!$N285+(D$11*Tabelle2!$O285)</f>
        <v>0</v>
      </c>
      <c r="E269" s="21">
        <f t="shared" ref="E269:E332" si="72">POWER($C$2,$B269/$B$2)</f>
        <v>1</v>
      </c>
      <c r="F269" s="21">
        <f t="shared" ref="F269:F332" si="73">POWER($C$2,$C269/$B$2)</f>
        <v>1</v>
      </c>
      <c r="G269" s="21">
        <f t="shared" ref="G269:G332" si="74">POWER($C$2,$D269/$B$2)</f>
        <v>1</v>
      </c>
      <c r="H269" s="21">
        <f t="shared" ref="H269:H332" si="75">POWER($C$3,$B269/$B$3)</f>
        <v>1</v>
      </c>
      <c r="I269" s="21">
        <f t="shared" ref="I269:I332" si="76">POWER($C$3,$C269/$B$3)</f>
        <v>1</v>
      </c>
      <c r="J269" s="21">
        <f t="shared" ref="J269:J332" si="77">POWER($C$3,$D269/$B$3)</f>
        <v>1</v>
      </c>
      <c r="K269" s="21">
        <f t="shared" ref="K269:K332" si="78">POWER($C$4,$B269/$B$4)</f>
        <v>1</v>
      </c>
      <c r="L269" s="21">
        <f t="shared" ref="L269:L332" si="79">POWER($C$4,$C269/$B$4)</f>
        <v>1</v>
      </c>
      <c r="M269" s="21">
        <f t="shared" ref="M269:M332" si="80">POWER($C$4,$D269/$B$4)</f>
        <v>1</v>
      </c>
      <c r="N269" s="21">
        <f t="shared" ref="N269:N332" si="81">POWER($C$5,$B269/$B$5)</f>
        <v>1</v>
      </c>
      <c r="O269" s="21">
        <f t="shared" ref="O269:O332" si="82">POWER($C$5,$C269/$B$5)</f>
        <v>1</v>
      </c>
      <c r="P269" s="21">
        <f t="shared" ref="P269:P332" si="83">POWER($C$5,$D269/$B$5)</f>
        <v>1</v>
      </c>
      <c r="Q269" s="21">
        <f t="shared" ref="Q269:Q332" si="84">POWER($C$6,$B269/$B$6)</f>
        <v>1</v>
      </c>
      <c r="R269" s="21">
        <f t="shared" ref="R269:R332" si="85">POWER($C$6,$C269/$B$6)</f>
        <v>1</v>
      </c>
      <c r="S269" s="21">
        <f t="shared" ref="S269:S332" si="86">POWER($C$6,$D269/$B$6)</f>
        <v>1</v>
      </c>
      <c r="T269" s="21">
        <f t="shared" ref="T269:T332" si="87">POWER($C$7,$B269/$B$7)</f>
        <v>1</v>
      </c>
      <c r="U269" s="21">
        <f t="shared" ref="U269:U332" si="88">POWER($C$7,$C269/$B$7)</f>
        <v>1</v>
      </c>
      <c r="V269" s="21">
        <f t="shared" ref="V269:V332" si="89">POWER($C$7,$D269/$B$7)</f>
        <v>1</v>
      </c>
    </row>
    <row r="270" spans="1:22" x14ac:dyDescent="0.25">
      <c r="A270">
        <f>Tabelle2!A286</f>
        <v>0</v>
      </c>
      <c r="B270">
        <f>Tabelle2!$N286+(B$11*Tabelle2!$O286)</f>
        <v>0</v>
      </c>
      <c r="C270">
        <f>Tabelle2!$N286+(C$11*Tabelle2!$O286)</f>
        <v>0</v>
      </c>
      <c r="D270">
        <f>Tabelle2!$N286+(D$11*Tabelle2!$O286)</f>
        <v>0</v>
      </c>
      <c r="E270" s="21">
        <f t="shared" si="72"/>
        <v>1</v>
      </c>
      <c r="F270" s="21">
        <f t="shared" si="73"/>
        <v>1</v>
      </c>
      <c r="G270" s="21">
        <f t="shared" si="74"/>
        <v>1</v>
      </c>
      <c r="H270" s="21">
        <f t="shared" si="75"/>
        <v>1</v>
      </c>
      <c r="I270" s="21">
        <f t="shared" si="76"/>
        <v>1</v>
      </c>
      <c r="J270" s="21">
        <f t="shared" si="77"/>
        <v>1</v>
      </c>
      <c r="K270" s="21">
        <f t="shared" si="78"/>
        <v>1</v>
      </c>
      <c r="L270" s="21">
        <f t="shared" si="79"/>
        <v>1</v>
      </c>
      <c r="M270" s="21">
        <f t="shared" si="80"/>
        <v>1</v>
      </c>
      <c r="N270" s="21">
        <f t="shared" si="81"/>
        <v>1</v>
      </c>
      <c r="O270" s="21">
        <f t="shared" si="82"/>
        <v>1</v>
      </c>
      <c r="P270" s="21">
        <f t="shared" si="83"/>
        <v>1</v>
      </c>
      <c r="Q270" s="21">
        <f t="shared" si="84"/>
        <v>1</v>
      </c>
      <c r="R270" s="21">
        <f t="shared" si="85"/>
        <v>1</v>
      </c>
      <c r="S270" s="21">
        <f t="shared" si="86"/>
        <v>1</v>
      </c>
      <c r="T270" s="21">
        <f t="shared" si="87"/>
        <v>1</v>
      </c>
      <c r="U270" s="21">
        <f t="shared" si="88"/>
        <v>1</v>
      </c>
      <c r="V270" s="21">
        <f t="shared" si="89"/>
        <v>1</v>
      </c>
    </row>
    <row r="271" spans="1:22" x14ac:dyDescent="0.25">
      <c r="A271">
        <f>Tabelle2!A287</f>
        <v>0</v>
      </c>
      <c r="B271">
        <f>Tabelle2!$N287+(B$11*Tabelle2!$O287)</f>
        <v>0</v>
      </c>
      <c r="C271">
        <f>Tabelle2!$N287+(C$11*Tabelle2!$O287)</f>
        <v>0</v>
      </c>
      <c r="D271">
        <f>Tabelle2!$N287+(D$11*Tabelle2!$O287)</f>
        <v>0</v>
      </c>
      <c r="E271" s="21">
        <f t="shared" si="72"/>
        <v>1</v>
      </c>
      <c r="F271" s="21">
        <f t="shared" si="73"/>
        <v>1</v>
      </c>
      <c r="G271" s="21">
        <f t="shared" si="74"/>
        <v>1</v>
      </c>
      <c r="H271" s="21">
        <f t="shared" si="75"/>
        <v>1</v>
      </c>
      <c r="I271" s="21">
        <f t="shared" si="76"/>
        <v>1</v>
      </c>
      <c r="J271" s="21">
        <f t="shared" si="77"/>
        <v>1</v>
      </c>
      <c r="K271" s="21">
        <f t="shared" si="78"/>
        <v>1</v>
      </c>
      <c r="L271" s="21">
        <f t="shared" si="79"/>
        <v>1</v>
      </c>
      <c r="M271" s="21">
        <f t="shared" si="80"/>
        <v>1</v>
      </c>
      <c r="N271" s="21">
        <f t="shared" si="81"/>
        <v>1</v>
      </c>
      <c r="O271" s="21">
        <f t="shared" si="82"/>
        <v>1</v>
      </c>
      <c r="P271" s="21">
        <f t="shared" si="83"/>
        <v>1</v>
      </c>
      <c r="Q271" s="21">
        <f t="shared" si="84"/>
        <v>1</v>
      </c>
      <c r="R271" s="21">
        <f t="shared" si="85"/>
        <v>1</v>
      </c>
      <c r="S271" s="21">
        <f t="shared" si="86"/>
        <v>1</v>
      </c>
      <c r="T271" s="21">
        <f t="shared" si="87"/>
        <v>1</v>
      </c>
      <c r="U271" s="21">
        <f t="shared" si="88"/>
        <v>1</v>
      </c>
      <c r="V271" s="21">
        <f t="shared" si="89"/>
        <v>1</v>
      </c>
    </row>
    <row r="272" spans="1:22" x14ac:dyDescent="0.25">
      <c r="A272">
        <f>Tabelle2!A288</f>
        <v>0</v>
      </c>
      <c r="B272">
        <f>Tabelle2!$N288+(B$11*Tabelle2!$O288)</f>
        <v>0</v>
      </c>
      <c r="C272">
        <f>Tabelle2!$N288+(C$11*Tabelle2!$O288)</f>
        <v>0</v>
      </c>
      <c r="D272">
        <f>Tabelle2!$N288+(D$11*Tabelle2!$O288)</f>
        <v>0</v>
      </c>
      <c r="E272" s="21">
        <f t="shared" si="72"/>
        <v>1</v>
      </c>
      <c r="F272" s="21">
        <f t="shared" si="73"/>
        <v>1</v>
      </c>
      <c r="G272" s="21">
        <f t="shared" si="74"/>
        <v>1</v>
      </c>
      <c r="H272" s="21">
        <f t="shared" si="75"/>
        <v>1</v>
      </c>
      <c r="I272" s="21">
        <f t="shared" si="76"/>
        <v>1</v>
      </c>
      <c r="J272" s="21">
        <f t="shared" si="77"/>
        <v>1</v>
      </c>
      <c r="K272" s="21">
        <f t="shared" si="78"/>
        <v>1</v>
      </c>
      <c r="L272" s="21">
        <f t="shared" si="79"/>
        <v>1</v>
      </c>
      <c r="M272" s="21">
        <f t="shared" si="80"/>
        <v>1</v>
      </c>
      <c r="N272" s="21">
        <f t="shared" si="81"/>
        <v>1</v>
      </c>
      <c r="O272" s="21">
        <f t="shared" si="82"/>
        <v>1</v>
      </c>
      <c r="P272" s="21">
        <f t="shared" si="83"/>
        <v>1</v>
      </c>
      <c r="Q272" s="21">
        <f t="shared" si="84"/>
        <v>1</v>
      </c>
      <c r="R272" s="21">
        <f t="shared" si="85"/>
        <v>1</v>
      </c>
      <c r="S272" s="21">
        <f t="shared" si="86"/>
        <v>1</v>
      </c>
      <c r="T272" s="21">
        <f t="shared" si="87"/>
        <v>1</v>
      </c>
      <c r="U272" s="21">
        <f t="shared" si="88"/>
        <v>1</v>
      </c>
      <c r="V272" s="21">
        <f t="shared" si="89"/>
        <v>1</v>
      </c>
    </row>
    <row r="273" spans="1:22" x14ac:dyDescent="0.25">
      <c r="A273">
        <f>Tabelle2!A289</f>
        <v>0</v>
      </c>
      <c r="B273">
        <f>Tabelle2!$N289+(B$11*Tabelle2!$O289)</f>
        <v>0</v>
      </c>
      <c r="C273">
        <f>Tabelle2!$N289+(C$11*Tabelle2!$O289)</f>
        <v>0</v>
      </c>
      <c r="D273">
        <f>Tabelle2!$N289+(D$11*Tabelle2!$O289)</f>
        <v>0</v>
      </c>
      <c r="E273" s="21">
        <f t="shared" si="72"/>
        <v>1</v>
      </c>
      <c r="F273" s="21">
        <f t="shared" si="73"/>
        <v>1</v>
      </c>
      <c r="G273" s="21">
        <f t="shared" si="74"/>
        <v>1</v>
      </c>
      <c r="H273" s="21">
        <f t="shared" si="75"/>
        <v>1</v>
      </c>
      <c r="I273" s="21">
        <f t="shared" si="76"/>
        <v>1</v>
      </c>
      <c r="J273" s="21">
        <f t="shared" si="77"/>
        <v>1</v>
      </c>
      <c r="K273" s="21">
        <f t="shared" si="78"/>
        <v>1</v>
      </c>
      <c r="L273" s="21">
        <f t="shared" si="79"/>
        <v>1</v>
      </c>
      <c r="M273" s="21">
        <f t="shared" si="80"/>
        <v>1</v>
      </c>
      <c r="N273" s="21">
        <f t="shared" si="81"/>
        <v>1</v>
      </c>
      <c r="O273" s="21">
        <f t="shared" si="82"/>
        <v>1</v>
      </c>
      <c r="P273" s="21">
        <f t="shared" si="83"/>
        <v>1</v>
      </c>
      <c r="Q273" s="21">
        <f t="shared" si="84"/>
        <v>1</v>
      </c>
      <c r="R273" s="21">
        <f t="shared" si="85"/>
        <v>1</v>
      </c>
      <c r="S273" s="21">
        <f t="shared" si="86"/>
        <v>1</v>
      </c>
      <c r="T273" s="21">
        <f t="shared" si="87"/>
        <v>1</v>
      </c>
      <c r="U273" s="21">
        <f t="shared" si="88"/>
        <v>1</v>
      </c>
      <c r="V273" s="21">
        <f t="shared" si="89"/>
        <v>1</v>
      </c>
    </row>
    <row r="274" spans="1:22" x14ac:dyDescent="0.25">
      <c r="A274">
        <f>Tabelle2!A290</f>
        <v>0</v>
      </c>
      <c r="B274">
        <f>Tabelle2!$N290+(B$11*Tabelle2!$O290)</f>
        <v>0</v>
      </c>
      <c r="C274">
        <f>Tabelle2!$N290+(C$11*Tabelle2!$O290)</f>
        <v>0</v>
      </c>
      <c r="D274">
        <f>Tabelle2!$N290+(D$11*Tabelle2!$O290)</f>
        <v>0</v>
      </c>
      <c r="E274" s="21">
        <f t="shared" si="72"/>
        <v>1</v>
      </c>
      <c r="F274" s="21">
        <f t="shared" si="73"/>
        <v>1</v>
      </c>
      <c r="G274" s="21">
        <f t="shared" si="74"/>
        <v>1</v>
      </c>
      <c r="H274" s="21">
        <f t="shared" si="75"/>
        <v>1</v>
      </c>
      <c r="I274" s="21">
        <f t="shared" si="76"/>
        <v>1</v>
      </c>
      <c r="J274" s="21">
        <f t="shared" si="77"/>
        <v>1</v>
      </c>
      <c r="K274" s="21">
        <f t="shared" si="78"/>
        <v>1</v>
      </c>
      <c r="L274" s="21">
        <f t="shared" si="79"/>
        <v>1</v>
      </c>
      <c r="M274" s="21">
        <f t="shared" si="80"/>
        <v>1</v>
      </c>
      <c r="N274" s="21">
        <f t="shared" si="81"/>
        <v>1</v>
      </c>
      <c r="O274" s="21">
        <f t="shared" si="82"/>
        <v>1</v>
      </c>
      <c r="P274" s="21">
        <f t="shared" si="83"/>
        <v>1</v>
      </c>
      <c r="Q274" s="21">
        <f t="shared" si="84"/>
        <v>1</v>
      </c>
      <c r="R274" s="21">
        <f t="shared" si="85"/>
        <v>1</v>
      </c>
      <c r="S274" s="21">
        <f t="shared" si="86"/>
        <v>1</v>
      </c>
      <c r="T274" s="21">
        <f t="shared" si="87"/>
        <v>1</v>
      </c>
      <c r="U274" s="21">
        <f t="shared" si="88"/>
        <v>1</v>
      </c>
      <c r="V274" s="21">
        <f t="shared" si="89"/>
        <v>1</v>
      </c>
    </row>
    <row r="275" spans="1:22" x14ac:dyDescent="0.25">
      <c r="A275">
        <f>Tabelle2!A291</f>
        <v>0</v>
      </c>
      <c r="B275">
        <f>Tabelle2!$N291+(B$11*Tabelle2!$O291)</f>
        <v>0</v>
      </c>
      <c r="C275">
        <f>Tabelle2!$N291+(C$11*Tabelle2!$O291)</f>
        <v>0</v>
      </c>
      <c r="D275">
        <f>Tabelle2!$N291+(D$11*Tabelle2!$O291)</f>
        <v>0</v>
      </c>
      <c r="E275" s="21">
        <f t="shared" si="72"/>
        <v>1</v>
      </c>
      <c r="F275" s="21">
        <f t="shared" si="73"/>
        <v>1</v>
      </c>
      <c r="G275" s="21">
        <f t="shared" si="74"/>
        <v>1</v>
      </c>
      <c r="H275" s="21">
        <f t="shared" si="75"/>
        <v>1</v>
      </c>
      <c r="I275" s="21">
        <f t="shared" si="76"/>
        <v>1</v>
      </c>
      <c r="J275" s="21">
        <f t="shared" si="77"/>
        <v>1</v>
      </c>
      <c r="K275" s="21">
        <f t="shared" si="78"/>
        <v>1</v>
      </c>
      <c r="L275" s="21">
        <f t="shared" si="79"/>
        <v>1</v>
      </c>
      <c r="M275" s="21">
        <f t="shared" si="80"/>
        <v>1</v>
      </c>
      <c r="N275" s="21">
        <f t="shared" si="81"/>
        <v>1</v>
      </c>
      <c r="O275" s="21">
        <f t="shared" si="82"/>
        <v>1</v>
      </c>
      <c r="P275" s="21">
        <f t="shared" si="83"/>
        <v>1</v>
      </c>
      <c r="Q275" s="21">
        <f t="shared" si="84"/>
        <v>1</v>
      </c>
      <c r="R275" s="21">
        <f t="shared" si="85"/>
        <v>1</v>
      </c>
      <c r="S275" s="21">
        <f t="shared" si="86"/>
        <v>1</v>
      </c>
      <c r="T275" s="21">
        <f t="shared" si="87"/>
        <v>1</v>
      </c>
      <c r="U275" s="21">
        <f t="shared" si="88"/>
        <v>1</v>
      </c>
      <c r="V275" s="21">
        <f t="shared" si="89"/>
        <v>1</v>
      </c>
    </row>
    <row r="276" spans="1:22" x14ac:dyDescent="0.25">
      <c r="A276">
        <f>Tabelle2!A292</f>
        <v>0</v>
      </c>
      <c r="B276">
        <f>Tabelle2!$N292+(B$11*Tabelle2!$O292)</f>
        <v>0</v>
      </c>
      <c r="C276">
        <f>Tabelle2!$N292+(C$11*Tabelle2!$O292)</f>
        <v>0</v>
      </c>
      <c r="D276">
        <f>Tabelle2!$N292+(D$11*Tabelle2!$O292)</f>
        <v>0</v>
      </c>
      <c r="E276" s="21">
        <f t="shared" si="72"/>
        <v>1</v>
      </c>
      <c r="F276" s="21">
        <f t="shared" si="73"/>
        <v>1</v>
      </c>
      <c r="G276" s="21">
        <f t="shared" si="74"/>
        <v>1</v>
      </c>
      <c r="H276" s="21">
        <f t="shared" si="75"/>
        <v>1</v>
      </c>
      <c r="I276" s="21">
        <f t="shared" si="76"/>
        <v>1</v>
      </c>
      <c r="J276" s="21">
        <f t="shared" si="77"/>
        <v>1</v>
      </c>
      <c r="K276" s="21">
        <f t="shared" si="78"/>
        <v>1</v>
      </c>
      <c r="L276" s="21">
        <f t="shared" si="79"/>
        <v>1</v>
      </c>
      <c r="M276" s="21">
        <f t="shared" si="80"/>
        <v>1</v>
      </c>
      <c r="N276" s="21">
        <f t="shared" si="81"/>
        <v>1</v>
      </c>
      <c r="O276" s="21">
        <f t="shared" si="82"/>
        <v>1</v>
      </c>
      <c r="P276" s="21">
        <f t="shared" si="83"/>
        <v>1</v>
      </c>
      <c r="Q276" s="21">
        <f t="shared" si="84"/>
        <v>1</v>
      </c>
      <c r="R276" s="21">
        <f t="shared" si="85"/>
        <v>1</v>
      </c>
      <c r="S276" s="21">
        <f t="shared" si="86"/>
        <v>1</v>
      </c>
      <c r="T276" s="21">
        <f t="shared" si="87"/>
        <v>1</v>
      </c>
      <c r="U276" s="21">
        <f t="shared" si="88"/>
        <v>1</v>
      </c>
      <c r="V276" s="21">
        <f t="shared" si="89"/>
        <v>1</v>
      </c>
    </row>
    <row r="277" spans="1:22" x14ac:dyDescent="0.25">
      <c r="A277">
        <f>Tabelle2!A293</f>
        <v>0</v>
      </c>
      <c r="B277">
        <f>Tabelle2!$N293+(B$11*Tabelle2!$O293)</f>
        <v>0</v>
      </c>
      <c r="C277">
        <f>Tabelle2!$N293+(C$11*Tabelle2!$O293)</f>
        <v>0</v>
      </c>
      <c r="D277">
        <f>Tabelle2!$N293+(D$11*Tabelle2!$O293)</f>
        <v>0</v>
      </c>
      <c r="E277" s="21">
        <f t="shared" si="72"/>
        <v>1</v>
      </c>
      <c r="F277" s="21">
        <f t="shared" si="73"/>
        <v>1</v>
      </c>
      <c r="G277" s="21">
        <f t="shared" si="74"/>
        <v>1</v>
      </c>
      <c r="H277" s="21">
        <f t="shared" si="75"/>
        <v>1</v>
      </c>
      <c r="I277" s="21">
        <f t="shared" si="76"/>
        <v>1</v>
      </c>
      <c r="J277" s="21">
        <f t="shared" si="77"/>
        <v>1</v>
      </c>
      <c r="K277" s="21">
        <f t="shared" si="78"/>
        <v>1</v>
      </c>
      <c r="L277" s="21">
        <f t="shared" si="79"/>
        <v>1</v>
      </c>
      <c r="M277" s="21">
        <f t="shared" si="80"/>
        <v>1</v>
      </c>
      <c r="N277" s="21">
        <f t="shared" si="81"/>
        <v>1</v>
      </c>
      <c r="O277" s="21">
        <f t="shared" si="82"/>
        <v>1</v>
      </c>
      <c r="P277" s="21">
        <f t="shared" si="83"/>
        <v>1</v>
      </c>
      <c r="Q277" s="21">
        <f t="shared" si="84"/>
        <v>1</v>
      </c>
      <c r="R277" s="21">
        <f t="shared" si="85"/>
        <v>1</v>
      </c>
      <c r="S277" s="21">
        <f t="shared" si="86"/>
        <v>1</v>
      </c>
      <c r="T277" s="21">
        <f t="shared" si="87"/>
        <v>1</v>
      </c>
      <c r="U277" s="21">
        <f t="shared" si="88"/>
        <v>1</v>
      </c>
      <c r="V277" s="21">
        <f t="shared" si="89"/>
        <v>1</v>
      </c>
    </row>
    <row r="278" spans="1:22" x14ac:dyDescent="0.25">
      <c r="A278">
        <f>Tabelle2!A294</f>
        <v>0</v>
      </c>
      <c r="B278">
        <f>Tabelle2!$N294+(B$11*Tabelle2!$O294)</f>
        <v>0</v>
      </c>
      <c r="C278">
        <f>Tabelle2!$N294+(C$11*Tabelle2!$O294)</f>
        <v>0</v>
      </c>
      <c r="D278">
        <f>Tabelle2!$N294+(D$11*Tabelle2!$O294)</f>
        <v>0</v>
      </c>
      <c r="E278" s="21">
        <f t="shared" si="72"/>
        <v>1</v>
      </c>
      <c r="F278" s="21">
        <f t="shared" si="73"/>
        <v>1</v>
      </c>
      <c r="G278" s="21">
        <f t="shared" si="74"/>
        <v>1</v>
      </c>
      <c r="H278" s="21">
        <f t="shared" si="75"/>
        <v>1</v>
      </c>
      <c r="I278" s="21">
        <f t="shared" si="76"/>
        <v>1</v>
      </c>
      <c r="J278" s="21">
        <f t="shared" si="77"/>
        <v>1</v>
      </c>
      <c r="K278" s="21">
        <f t="shared" si="78"/>
        <v>1</v>
      </c>
      <c r="L278" s="21">
        <f t="shared" si="79"/>
        <v>1</v>
      </c>
      <c r="M278" s="21">
        <f t="shared" si="80"/>
        <v>1</v>
      </c>
      <c r="N278" s="21">
        <f t="shared" si="81"/>
        <v>1</v>
      </c>
      <c r="O278" s="21">
        <f t="shared" si="82"/>
        <v>1</v>
      </c>
      <c r="P278" s="21">
        <f t="shared" si="83"/>
        <v>1</v>
      </c>
      <c r="Q278" s="21">
        <f t="shared" si="84"/>
        <v>1</v>
      </c>
      <c r="R278" s="21">
        <f t="shared" si="85"/>
        <v>1</v>
      </c>
      <c r="S278" s="21">
        <f t="shared" si="86"/>
        <v>1</v>
      </c>
      <c r="T278" s="21">
        <f t="shared" si="87"/>
        <v>1</v>
      </c>
      <c r="U278" s="21">
        <f t="shared" si="88"/>
        <v>1</v>
      </c>
      <c r="V278" s="21">
        <f t="shared" si="89"/>
        <v>1</v>
      </c>
    </row>
    <row r="279" spans="1:22" x14ac:dyDescent="0.25">
      <c r="A279">
        <f>Tabelle2!A295</f>
        <v>0</v>
      </c>
      <c r="B279">
        <f>Tabelle2!$N295+(B$11*Tabelle2!$O295)</f>
        <v>0</v>
      </c>
      <c r="C279">
        <f>Tabelle2!$N295+(C$11*Tabelle2!$O295)</f>
        <v>0</v>
      </c>
      <c r="D279">
        <f>Tabelle2!$N295+(D$11*Tabelle2!$O295)</f>
        <v>0</v>
      </c>
      <c r="E279" s="21">
        <f t="shared" si="72"/>
        <v>1</v>
      </c>
      <c r="F279" s="21">
        <f t="shared" si="73"/>
        <v>1</v>
      </c>
      <c r="G279" s="21">
        <f t="shared" si="74"/>
        <v>1</v>
      </c>
      <c r="H279" s="21">
        <f t="shared" si="75"/>
        <v>1</v>
      </c>
      <c r="I279" s="21">
        <f t="shared" si="76"/>
        <v>1</v>
      </c>
      <c r="J279" s="21">
        <f t="shared" si="77"/>
        <v>1</v>
      </c>
      <c r="K279" s="21">
        <f t="shared" si="78"/>
        <v>1</v>
      </c>
      <c r="L279" s="21">
        <f t="shared" si="79"/>
        <v>1</v>
      </c>
      <c r="M279" s="21">
        <f t="shared" si="80"/>
        <v>1</v>
      </c>
      <c r="N279" s="21">
        <f t="shared" si="81"/>
        <v>1</v>
      </c>
      <c r="O279" s="21">
        <f t="shared" si="82"/>
        <v>1</v>
      </c>
      <c r="P279" s="21">
        <f t="shared" si="83"/>
        <v>1</v>
      </c>
      <c r="Q279" s="21">
        <f t="shared" si="84"/>
        <v>1</v>
      </c>
      <c r="R279" s="21">
        <f t="shared" si="85"/>
        <v>1</v>
      </c>
      <c r="S279" s="21">
        <f t="shared" si="86"/>
        <v>1</v>
      </c>
      <c r="T279" s="21">
        <f t="shared" si="87"/>
        <v>1</v>
      </c>
      <c r="U279" s="21">
        <f t="shared" si="88"/>
        <v>1</v>
      </c>
      <c r="V279" s="21">
        <f t="shared" si="89"/>
        <v>1</v>
      </c>
    </row>
    <row r="280" spans="1:22" x14ac:dyDescent="0.25">
      <c r="A280">
        <f>Tabelle2!A296</f>
        <v>0</v>
      </c>
      <c r="B280">
        <f>Tabelle2!$N296+(B$11*Tabelle2!$O296)</f>
        <v>0</v>
      </c>
      <c r="C280">
        <f>Tabelle2!$N296+(C$11*Tabelle2!$O296)</f>
        <v>0</v>
      </c>
      <c r="D280">
        <f>Tabelle2!$N296+(D$11*Tabelle2!$O296)</f>
        <v>0</v>
      </c>
      <c r="E280" s="21">
        <f t="shared" si="72"/>
        <v>1</v>
      </c>
      <c r="F280" s="21">
        <f t="shared" si="73"/>
        <v>1</v>
      </c>
      <c r="G280" s="21">
        <f t="shared" si="74"/>
        <v>1</v>
      </c>
      <c r="H280" s="21">
        <f t="shared" si="75"/>
        <v>1</v>
      </c>
      <c r="I280" s="21">
        <f t="shared" si="76"/>
        <v>1</v>
      </c>
      <c r="J280" s="21">
        <f t="shared" si="77"/>
        <v>1</v>
      </c>
      <c r="K280" s="21">
        <f t="shared" si="78"/>
        <v>1</v>
      </c>
      <c r="L280" s="21">
        <f t="shared" si="79"/>
        <v>1</v>
      </c>
      <c r="M280" s="21">
        <f t="shared" si="80"/>
        <v>1</v>
      </c>
      <c r="N280" s="21">
        <f t="shared" si="81"/>
        <v>1</v>
      </c>
      <c r="O280" s="21">
        <f t="shared" si="82"/>
        <v>1</v>
      </c>
      <c r="P280" s="21">
        <f t="shared" si="83"/>
        <v>1</v>
      </c>
      <c r="Q280" s="21">
        <f t="shared" si="84"/>
        <v>1</v>
      </c>
      <c r="R280" s="21">
        <f t="shared" si="85"/>
        <v>1</v>
      </c>
      <c r="S280" s="21">
        <f t="shared" si="86"/>
        <v>1</v>
      </c>
      <c r="T280" s="21">
        <f t="shared" si="87"/>
        <v>1</v>
      </c>
      <c r="U280" s="21">
        <f t="shared" si="88"/>
        <v>1</v>
      </c>
      <c r="V280" s="21">
        <f t="shared" si="89"/>
        <v>1</v>
      </c>
    </row>
    <row r="281" spans="1:22" x14ac:dyDescent="0.25">
      <c r="A281">
        <f>Tabelle2!A297</f>
        <v>0</v>
      </c>
      <c r="B281">
        <f>Tabelle2!$N297+(B$11*Tabelle2!$O297)</f>
        <v>0</v>
      </c>
      <c r="C281">
        <f>Tabelle2!$N297+(C$11*Tabelle2!$O297)</f>
        <v>0</v>
      </c>
      <c r="D281">
        <f>Tabelle2!$N297+(D$11*Tabelle2!$O297)</f>
        <v>0</v>
      </c>
      <c r="E281" s="21">
        <f t="shared" si="72"/>
        <v>1</v>
      </c>
      <c r="F281" s="21">
        <f t="shared" si="73"/>
        <v>1</v>
      </c>
      <c r="G281" s="21">
        <f t="shared" si="74"/>
        <v>1</v>
      </c>
      <c r="H281" s="21">
        <f t="shared" si="75"/>
        <v>1</v>
      </c>
      <c r="I281" s="21">
        <f t="shared" si="76"/>
        <v>1</v>
      </c>
      <c r="J281" s="21">
        <f t="shared" si="77"/>
        <v>1</v>
      </c>
      <c r="K281" s="21">
        <f t="shared" si="78"/>
        <v>1</v>
      </c>
      <c r="L281" s="21">
        <f t="shared" si="79"/>
        <v>1</v>
      </c>
      <c r="M281" s="21">
        <f t="shared" si="80"/>
        <v>1</v>
      </c>
      <c r="N281" s="21">
        <f t="shared" si="81"/>
        <v>1</v>
      </c>
      <c r="O281" s="21">
        <f t="shared" si="82"/>
        <v>1</v>
      </c>
      <c r="P281" s="21">
        <f t="shared" si="83"/>
        <v>1</v>
      </c>
      <c r="Q281" s="21">
        <f t="shared" si="84"/>
        <v>1</v>
      </c>
      <c r="R281" s="21">
        <f t="shared" si="85"/>
        <v>1</v>
      </c>
      <c r="S281" s="21">
        <f t="shared" si="86"/>
        <v>1</v>
      </c>
      <c r="T281" s="21">
        <f t="shared" si="87"/>
        <v>1</v>
      </c>
      <c r="U281" s="21">
        <f t="shared" si="88"/>
        <v>1</v>
      </c>
      <c r="V281" s="21">
        <f t="shared" si="89"/>
        <v>1</v>
      </c>
    </row>
    <row r="282" spans="1:22" x14ac:dyDescent="0.25">
      <c r="A282">
        <f>Tabelle2!A298</f>
        <v>0</v>
      </c>
      <c r="B282">
        <f>Tabelle2!$N298+(B$11*Tabelle2!$O298)</f>
        <v>0</v>
      </c>
      <c r="C282">
        <f>Tabelle2!$N298+(C$11*Tabelle2!$O298)</f>
        <v>0</v>
      </c>
      <c r="D282">
        <f>Tabelle2!$N298+(D$11*Tabelle2!$O298)</f>
        <v>0</v>
      </c>
      <c r="E282" s="21">
        <f t="shared" si="72"/>
        <v>1</v>
      </c>
      <c r="F282" s="21">
        <f t="shared" si="73"/>
        <v>1</v>
      </c>
      <c r="G282" s="21">
        <f t="shared" si="74"/>
        <v>1</v>
      </c>
      <c r="H282" s="21">
        <f t="shared" si="75"/>
        <v>1</v>
      </c>
      <c r="I282" s="21">
        <f t="shared" si="76"/>
        <v>1</v>
      </c>
      <c r="J282" s="21">
        <f t="shared" si="77"/>
        <v>1</v>
      </c>
      <c r="K282" s="21">
        <f t="shared" si="78"/>
        <v>1</v>
      </c>
      <c r="L282" s="21">
        <f t="shared" si="79"/>
        <v>1</v>
      </c>
      <c r="M282" s="21">
        <f t="shared" si="80"/>
        <v>1</v>
      </c>
      <c r="N282" s="21">
        <f t="shared" si="81"/>
        <v>1</v>
      </c>
      <c r="O282" s="21">
        <f t="shared" si="82"/>
        <v>1</v>
      </c>
      <c r="P282" s="21">
        <f t="shared" si="83"/>
        <v>1</v>
      </c>
      <c r="Q282" s="21">
        <f t="shared" si="84"/>
        <v>1</v>
      </c>
      <c r="R282" s="21">
        <f t="shared" si="85"/>
        <v>1</v>
      </c>
      <c r="S282" s="21">
        <f t="shared" si="86"/>
        <v>1</v>
      </c>
      <c r="T282" s="21">
        <f t="shared" si="87"/>
        <v>1</v>
      </c>
      <c r="U282" s="21">
        <f t="shared" si="88"/>
        <v>1</v>
      </c>
      <c r="V282" s="21">
        <f t="shared" si="89"/>
        <v>1</v>
      </c>
    </row>
    <row r="283" spans="1:22" x14ac:dyDescent="0.25">
      <c r="A283">
        <f>Tabelle2!A299</f>
        <v>0</v>
      </c>
      <c r="B283">
        <f>Tabelle2!$N299+(B$11*Tabelle2!$O299)</f>
        <v>0</v>
      </c>
      <c r="C283">
        <f>Tabelle2!$N299+(C$11*Tabelle2!$O299)</f>
        <v>0</v>
      </c>
      <c r="D283">
        <f>Tabelle2!$N299+(D$11*Tabelle2!$O299)</f>
        <v>0</v>
      </c>
      <c r="E283" s="21">
        <f t="shared" si="72"/>
        <v>1</v>
      </c>
      <c r="F283" s="21">
        <f t="shared" si="73"/>
        <v>1</v>
      </c>
      <c r="G283" s="21">
        <f t="shared" si="74"/>
        <v>1</v>
      </c>
      <c r="H283" s="21">
        <f t="shared" si="75"/>
        <v>1</v>
      </c>
      <c r="I283" s="21">
        <f t="shared" si="76"/>
        <v>1</v>
      </c>
      <c r="J283" s="21">
        <f t="shared" si="77"/>
        <v>1</v>
      </c>
      <c r="K283" s="21">
        <f t="shared" si="78"/>
        <v>1</v>
      </c>
      <c r="L283" s="21">
        <f t="shared" si="79"/>
        <v>1</v>
      </c>
      <c r="M283" s="21">
        <f t="shared" si="80"/>
        <v>1</v>
      </c>
      <c r="N283" s="21">
        <f t="shared" si="81"/>
        <v>1</v>
      </c>
      <c r="O283" s="21">
        <f t="shared" si="82"/>
        <v>1</v>
      </c>
      <c r="P283" s="21">
        <f t="shared" si="83"/>
        <v>1</v>
      </c>
      <c r="Q283" s="21">
        <f t="shared" si="84"/>
        <v>1</v>
      </c>
      <c r="R283" s="21">
        <f t="shared" si="85"/>
        <v>1</v>
      </c>
      <c r="S283" s="21">
        <f t="shared" si="86"/>
        <v>1</v>
      </c>
      <c r="T283" s="21">
        <f t="shared" si="87"/>
        <v>1</v>
      </c>
      <c r="U283" s="21">
        <f t="shared" si="88"/>
        <v>1</v>
      </c>
      <c r="V283" s="21">
        <f t="shared" si="89"/>
        <v>1</v>
      </c>
    </row>
    <row r="284" spans="1:22" x14ac:dyDescent="0.25">
      <c r="A284">
        <f>Tabelle2!A300</f>
        <v>0</v>
      </c>
      <c r="B284">
        <f>Tabelle2!$N300+(B$11*Tabelle2!$O300)</f>
        <v>0</v>
      </c>
      <c r="C284">
        <f>Tabelle2!$N300+(C$11*Tabelle2!$O300)</f>
        <v>0</v>
      </c>
      <c r="D284">
        <f>Tabelle2!$N300+(D$11*Tabelle2!$O300)</f>
        <v>0</v>
      </c>
      <c r="E284" s="21">
        <f t="shared" si="72"/>
        <v>1</v>
      </c>
      <c r="F284" s="21">
        <f t="shared" si="73"/>
        <v>1</v>
      </c>
      <c r="G284" s="21">
        <f t="shared" si="74"/>
        <v>1</v>
      </c>
      <c r="H284" s="21">
        <f t="shared" si="75"/>
        <v>1</v>
      </c>
      <c r="I284" s="21">
        <f t="shared" si="76"/>
        <v>1</v>
      </c>
      <c r="J284" s="21">
        <f t="shared" si="77"/>
        <v>1</v>
      </c>
      <c r="K284" s="21">
        <f t="shared" si="78"/>
        <v>1</v>
      </c>
      <c r="L284" s="21">
        <f t="shared" si="79"/>
        <v>1</v>
      </c>
      <c r="M284" s="21">
        <f t="shared" si="80"/>
        <v>1</v>
      </c>
      <c r="N284" s="21">
        <f t="shared" si="81"/>
        <v>1</v>
      </c>
      <c r="O284" s="21">
        <f t="shared" si="82"/>
        <v>1</v>
      </c>
      <c r="P284" s="21">
        <f t="shared" si="83"/>
        <v>1</v>
      </c>
      <c r="Q284" s="21">
        <f t="shared" si="84"/>
        <v>1</v>
      </c>
      <c r="R284" s="21">
        <f t="shared" si="85"/>
        <v>1</v>
      </c>
      <c r="S284" s="21">
        <f t="shared" si="86"/>
        <v>1</v>
      </c>
      <c r="T284" s="21">
        <f t="shared" si="87"/>
        <v>1</v>
      </c>
      <c r="U284" s="21">
        <f t="shared" si="88"/>
        <v>1</v>
      </c>
      <c r="V284" s="21">
        <f t="shared" si="89"/>
        <v>1</v>
      </c>
    </row>
    <row r="285" spans="1:22" x14ac:dyDescent="0.25">
      <c r="A285">
        <f>Tabelle2!A301</f>
        <v>0</v>
      </c>
      <c r="B285">
        <f>Tabelle2!$N301+(B$11*Tabelle2!$O301)</f>
        <v>0</v>
      </c>
      <c r="C285">
        <f>Tabelle2!$N301+(C$11*Tabelle2!$O301)</f>
        <v>0</v>
      </c>
      <c r="D285">
        <f>Tabelle2!$N301+(D$11*Tabelle2!$O301)</f>
        <v>0</v>
      </c>
      <c r="E285" s="21">
        <f t="shared" si="72"/>
        <v>1</v>
      </c>
      <c r="F285" s="21">
        <f t="shared" si="73"/>
        <v>1</v>
      </c>
      <c r="G285" s="21">
        <f t="shared" si="74"/>
        <v>1</v>
      </c>
      <c r="H285" s="21">
        <f t="shared" si="75"/>
        <v>1</v>
      </c>
      <c r="I285" s="21">
        <f t="shared" si="76"/>
        <v>1</v>
      </c>
      <c r="J285" s="21">
        <f t="shared" si="77"/>
        <v>1</v>
      </c>
      <c r="K285" s="21">
        <f t="shared" si="78"/>
        <v>1</v>
      </c>
      <c r="L285" s="21">
        <f t="shared" si="79"/>
        <v>1</v>
      </c>
      <c r="M285" s="21">
        <f t="shared" si="80"/>
        <v>1</v>
      </c>
      <c r="N285" s="21">
        <f t="shared" si="81"/>
        <v>1</v>
      </c>
      <c r="O285" s="21">
        <f t="shared" si="82"/>
        <v>1</v>
      </c>
      <c r="P285" s="21">
        <f t="shared" si="83"/>
        <v>1</v>
      </c>
      <c r="Q285" s="21">
        <f t="shared" si="84"/>
        <v>1</v>
      </c>
      <c r="R285" s="21">
        <f t="shared" si="85"/>
        <v>1</v>
      </c>
      <c r="S285" s="21">
        <f t="shared" si="86"/>
        <v>1</v>
      </c>
      <c r="T285" s="21">
        <f t="shared" si="87"/>
        <v>1</v>
      </c>
      <c r="U285" s="21">
        <f t="shared" si="88"/>
        <v>1</v>
      </c>
      <c r="V285" s="21">
        <f t="shared" si="89"/>
        <v>1</v>
      </c>
    </row>
    <row r="286" spans="1:22" x14ac:dyDescent="0.25">
      <c r="A286">
        <f>Tabelle2!A302</f>
        <v>0</v>
      </c>
      <c r="B286">
        <f>Tabelle2!$N302+(B$11*Tabelle2!$O302)</f>
        <v>0</v>
      </c>
      <c r="C286">
        <f>Tabelle2!$N302+(C$11*Tabelle2!$O302)</f>
        <v>0</v>
      </c>
      <c r="D286">
        <f>Tabelle2!$N302+(D$11*Tabelle2!$O302)</f>
        <v>0</v>
      </c>
      <c r="E286" s="21">
        <f t="shared" si="72"/>
        <v>1</v>
      </c>
      <c r="F286" s="21">
        <f t="shared" si="73"/>
        <v>1</v>
      </c>
      <c r="G286" s="21">
        <f t="shared" si="74"/>
        <v>1</v>
      </c>
      <c r="H286" s="21">
        <f t="shared" si="75"/>
        <v>1</v>
      </c>
      <c r="I286" s="21">
        <f t="shared" si="76"/>
        <v>1</v>
      </c>
      <c r="J286" s="21">
        <f t="shared" si="77"/>
        <v>1</v>
      </c>
      <c r="K286" s="21">
        <f t="shared" si="78"/>
        <v>1</v>
      </c>
      <c r="L286" s="21">
        <f t="shared" si="79"/>
        <v>1</v>
      </c>
      <c r="M286" s="21">
        <f t="shared" si="80"/>
        <v>1</v>
      </c>
      <c r="N286" s="21">
        <f t="shared" si="81"/>
        <v>1</v>
      </c>
      <c r="O286" s="21">
        <f t="shared" si="82"/>
        <v>1</v>
      </c>
      <c r="P286" s="21">
        <f t="shared" si="83"/>
        <v>1</v>
      </c>
      <c r="Q286" s="21">
        <f t="shared" si="84"/>
        <v>1</v>
      </c>
      <c r="R286" s="21">
        <f t="shared" si="85"/>
        <v>1</v>
      </c>
      <c r="S286" s="21">
        <f t="shared" si="86"/>
        <v>1</v>
      </c>
      <c r="T286" s="21">
        <f t="shared" si="87"/>
        <v>1</v>
      </c>
      <c r="U286" s="21">
        <f t="shared" si="88"/>
        <v>1</v>
      </c>
      <c r="V286" s="21">
        <f t="shared" si="89"/>
        <v>1</v>
      </c>
    </row>
    <row r="287" spans="1:22" x14ac:dyDescent="0.25">
      <c r="A287">
        <f>Tabelle2!A303</f>
        <v>0</v>
      </c>
      <c r="B287">
        <f>Tabelle2!$N303+(B$11*Tabelle2!$O303)</f>
        <v>0</v>
      </c>
      <c r="C287">
        <f>Tabelle2!$N303+(C$11*Tabelle2!$O303)</f>
        <v>0</v>
      </c>
      <c r="D287">
        <f>Tabelle2!$N303+(D$11*Tabelle2!$O303)</f>
        <v>0</v>
      </c>
      <c r="E287" s="21">
        <f t="shared" si="72"/>
        <v>1</v>
      </c>
      <c r="F287" s="21">
        <f t="shared" si="73"/>
        <v>1</v>
      </c>
      <c r="G287" s="21">
        <f t="shared" si="74"/>
        <v>1</v>
      </c>
      <c r="H287" s="21">
        <f t="shared" si="75"/>
        <v>1</v>
      </c>
      <c r="I287" s="21">
        <f t="shared" si="76"/>
        <v>1</v>
      </c>
      <c r="J287" s="21">
        <f t="shared" si="77"/>
        <v>1</v>
      </c>
      <c r="K287" s="21">
        <f t="shared" si="78"/>
        <v>1</v>
      </c>
      <c r="L287" s="21">
        <f t="shared" si="79"/>
        <v>1</v>
      </c>
      <c r="M287" s="21">
        <f t="shared" si="80"/>
        <v>1</v>
      </c>
      <c r="N287" s="21">
        <f t="shared" si="81"/>
        <v>1</v>
      </c>
      <c r="O287" s="21">
        <f t="shared" si="82"/>
        <v>1</v>
      </c>
      <c r="P287" s="21">
        <f t="shared" si="83"/>
        <v>1</v>
      </c>
      <c r="Q287" s="21">
        <f t="shared" si="84"/>
        <v>1</v>
      </c>
      <c r="R287" s="21">
        <f t="shared" si="85"/>
        <v>1</v>
      </c>
      <c r="S287" s="21">
        <f t="shared" si="86"/>
        <v>1</v>
      </c>
      <c r="T287" s="21">
        <f t="shared" si="87"/>
        <v>1</v>
      </c>
      <c r="U287" s="21">
        <f t="shared" si="88"/>
        <v>1</v>
      </c>
      <c r="V287" s="21">
        <f t="shared" si="89"/>
        <v>1</v>
      </c>
    </row>
    <row r="288" spans="1:22" x14ac:dyDescent="0.25">
      <c r="A288">
        <f>Tabelle2!A304</f>
        <v>0</v>
      </c>
      <c r="B288">
        <f>Tabelle2!$N304+(B$11*Tabelle2!$O304)</f>
        <v>0</v>
      </c>
      <c r="C288">
        <f>Tabelle2!$N304+(C$11*Tabelle2!$O304)</f>
        <v>0</v>
      </c>
      <c r="D288">
        <f>Tabelle2!$N304+(D$11*Tabelle2!$O304)</f>
        <v>0</v>
      </c>
      <c r="E288" s="21">
        <f t="shared" si="72"/>
        <v>1</v>
      </c>
      <c r="F288" s="21">
        <f t="shared" si="73"/>
        <v>1</v>
      </c>
      <c r="G288" s="21">
        <f t="shared" si="74"/>
        <v>1</v>
      </c>
      <c r="H288" s="21">
        <f t="shared" si="75"/>
        <v>1</v>
      </c>
      <c r="I288" s="21">
        <f t="shared" si="76"/>
        <v>1</v>
      </c>
      <c r="J288" s="21">
        <f t="shared" si="77"/>
        <v>1</v>
      </c>
      <c r="K288" s="21">
        <f t="shared" si="78"/>
        <v>1</v>
      </c>
      <c r="L288" s="21">
        <f t="shared" si="79"/>
        <v>1</v>
      </c>
      <c r="M288" s="21">
        <f t="shared" si="80"/>
        <v>1</v>
      </c>
      <c r="N288" s="21">
        <f t="shared" si="81"/>
        <v>1</v>
      </c>
      <c r="O288" s="21">
        <f t="shared" si="82"/>
        <v>1</v>
      </c>
      <c r="P288" s="21">
        <f t="shared" si="83"/>
        <v>1</v>
      </c>
      <c r="Q288" s="21">
        <f t="shared" si="84"/>
        <v>1</v>
      </c>
      <c r="R288" s="21">
        <f t="shared" si="85"/>
        <v>1</v>
      </c>
      <c r="S288" s="21">
        <f t="shared" si="86"/>
        <v>1</v>
      </c>
      <c r="T288" s="21">
        <f t="shared" si="87"/>
        <v>1</v>
      </c>
      <c r="U288" s="21">
        <f t="shared" si="88"/>
        <v>1</v>
      </c>
      <c r="V288" s="21">
        <f t="shared" si="89"/>
        <v>1</v>
      </c>
    </row>
    <row r="289" spans="1:22" x14ac:dyDescent="0.25">
      <c r="A289">
        <f>Tabelle2!A305</f>
        <v>0</v>
      </c>
      <c r="B289">
        <f>Tabelle2!$N305+(B$11*Tabelle2!$O305)</f>
        <v>0</v>
      </c>
      <c r="C289">
        <f>Tabelle2!$N305+(C$11*Tabelle2!$O305)</f>
        <v>0</v>
      </c>
      <c r="D289">
        <f>Tabelle2!$N305+(D$11*Tabelle2!$O305)</f>
        <v>0</v>
      </c>
      <c r="E289" s="21">
        <f t="shared" si="72"/>
        <v>1</v>
      </c>
      <c r="F289" s="21">
        <f t="shared" si="73"/>
        <v>1</v>
      </c>
      <c r="G289" s="21">
        <f t="shared" si="74"/>
        <v>1</v>
      </c>
      <c r="H289" s="21">
        <f t="shared" si="75"/>
        <v>1</v>
      </c>
      <c r="I289" s="21">
        <f t="shared" si="76"/>
        <v>1</v>
      </c>
      <c r="J289" s="21">
        <f t="shared" si="77"/>
        <v>1</v>
      </c>
      <c r="K289" s="21">
        <f t="shared" si="78"/>
        <v>1</v>
      </c>
      <c r="L289" s="21">
        <f t="shared" si="79"/>
        <v>1</v>
      </c>
      <c r="M289" s="21">
        <f t="shared" si="80"/>
        <v>1</v>
      </c>
      <c r="N289" s="21">
        <f t="shared" si="81"/>
        <v>1</v>
      </c>
      <c r="O289" s="21">
        <f t="shared" si="82"/>
        <v>1</v>
      </c>
      <c r="P289" s="21">
        <f t="shared" si="83"/>
        <v>1</v>
      </c>
      <c r="Q289" s="21">
        <f t="shared" si="84"/>
        <v>1</v>
      </c>
      <c r="R289" s="21">
        <f t="shared" si="85"/>
        <v>1</v>
      </c>
      <c r="S289" s="21">
        <f t="shared" si="86"/>
        <v>1</v>
      </c>
      <c r="T289" s="21">
        <f t="shared" si="87"/>
        <v>1</v>
      </c>
      <c r="U289" s="21">
        <f t="shared" si="88"/>
        <v>1</v>
      </c>
      <c r="V289" s="21">
        <f t="shared" si="89"/>
        <v>1</v>
      </c>
    </row>
    <row r="290" spans="1:22" x14ac:dyDescent="0.25">
      <c r="A290">
        <f>Tabelle2!A306</f>
        <v>0</v>
      </c>
      <c r="B290">
        <f>Tabelle2!$N306+(B$11*Tabelle2!$O306)</f>
        <v>0</v>
      </c>
      <c r="C290">
        <f>Tabelle2!$N306+(C$11*Tabelle2!$O306)</f>
        <v>0</v>
      </c>
      <c r="D290">
        <f>Tabelle2!$N306+(D$11*Tabelle2!$O306)</f>
        <v>0</v>
      </c>
      <c r="E290" s="21">
        <f t="shared" si="72"/>
        <v>1</v>
      </c>
      <c r="F290" s="21">
        <f t="shared" si="73"/>
        <v>1</v>
      </c>
      <c r="G290" s="21">
        <f t="shared" si="74"/>
        <v>1</v>
      </c>
      <c r="H290" s="21">
        <f t="shared" si="75"/>
        <v>1</v>
      </c>
      <c r="I290" s="21">
        <f t="shared" si="76"/>
        <v>1</v>
      </c>
      <c r="J290" s="21">
        <f t="shared" si="77"/>
        <v>1</v>
      </c>
      <c r="K290" s="21">
        <f t="shared" si="78"/>
        <v>1</v>
      </c>
      <c r="L290" s="21">
        <f t="shared" si="79"/>
        <v>1</v>
      </c>
      <c r="M290" s="21">
        <f t="shared" si="80"/>
        <v>1</v>
      </c>
      <c r="N290" s="21">
        <f t="shared" si="81"/>
        <v>1</v>
      </c>
      <c r="O290" s="21">
        <f t="shared" si="82"/>
        <v>1</v>
      </c>
      <c r="P290" s="21">
        <f t="shared" si="83"/>
        <v>1</v>
      </c>
      <c r="Q290" s="21">
        <f t="shared" si="84"/>
        <v>1</v>
      </c>
      <c r="R290" s="21">
        <f t="shared" si="85"/>
        <v>1</v>
      </c>
      <c r="S290" s="21">
        <f t="shared" si="86"/>
        <v>1</v>
      </c>
      <c r="T290" s="21">
        <f t="shared" si="87"/>
        <v>1</v>
      </c>
      <c r="U290" s="21">
        <f t="shared" si="88"/>
        <v>1</v>
      </c>
      <c r="V290" s="21">
        <f t="shared" si="89"/>
        <v>1</v>
      </c>
    </row>
    <row r="291" spans="1:22" x14ac:dyDescent="0.25">
      <c r="A291">
        <f>Tabelle2!A307</f>
        <v>0</v>
      </c>
      <c r="B291">
        <f>Tabelle2!$N307+(B$11*Tabelle2!$O307)</f>
        <v>0</v>
      </c>
      <c r="C291">
        <f>Tabelle2!$N307+(C$11*Tabelle2!$O307)</f>
        <v>0</v>
      </c>
      <c r="D291">
        <f>Tabelle2!$N307+(D$11*Tabelle2!$O307)</f>
        <v>0</v>
      </c>
      <c r="E291" s="21">
        <f t="shared" si="72"/>
        <v>1</v>
      </c>
      <c r="F291" s="21">
        <f t="shared" si="73"/>
        <v>1</v>
      </c>
      <c r="G291" s="21">
        <f t="shared" si="74"/>
        <v>1</v>
      </c>
      <c r="H291" s="21">
        <f t="shared" si="75"/>
        <v>1</v>
      </c>
      <c r="I291" s="21">
        <f t="shared" si="76"/>
        <v>1</v>
      </c>
      <c r="J291" s="21">
        <f t="shared" si="77"/>
        <v>1</v>
      </c>
      <c r="K291" s="21">
        <f t="shared" si="78"/>
        <v>1</v>
      </c>
      <c r="L291" s="21">
        <f t="shared" si="79"/>
        <v>1</v>
      </c>
      <c r="M291" s="21">
        <f t="shared" si="80"/>
        <v>1</v>
      </c>
      <c r="N291" s="21">
        <f t="shared" si="81"/>
        <v>1</v>
      </c>
      <c r="O291" s="21">
        <f t="shared" si="82"/>
        <v>1</v>
      </c>
      <c r="P291" s="21">
        <f t="shared" si="83"/>
        <v>1</v>
      </c>
      <c r="Q291" s="21">
        <f t="shared" si="84"/>
        <v>1</v>
      </c>
      <c r="R291" s="21">
        <f t="shared" si="85"/>
        <v>1</v>
      </c>
      <c r="S291" s="21">
        <f t="shared" si="86"/>
        <v>1</v>
      </c>
      <c r="T291" s="21">
        <f t="shared" si="87"/>
        <v>1</v>
      </c>
      <c r="U291" s="21">
        <f t="shared" si="88"/>
        <v>1</v>
      </c>
      <c r="V291" s="21">
        <f t="shared" si="89"/>
        <v>1</v>
      </c>
    </row>
    <row r="292" spans="1:22" x14ac:dyDescent="0.25">
      <c r="A292">
        <f>Tabelle2!A308</f>
        <v>0</v>
      </c>
      <c r="B292">
        <f>Tabelle2!$N308+(B$11*Tabelle2!$O308)</f>
        <v>0</v>
      </c>
      <c r="C292">
        <f>Tabelle2!$N308+(C$11*Tabelle2!$O308)</f>
        <v>0</v>
      </c>
      <c r="D292">
        <f>Tabelle2!$N308+(D$11*Tabelle2!$O308)</f>
        <v>0</v>
      </c>
      <c r="E292" s="21">
        <f t="shared" si="72"/>
        <v>1</v>
      </c>
      <c r="F292" s="21">
        <f t="shared" si="73"/>
        <v>1</v>
      </c>
      <c r="G292" s="21">
        <f t="shared" si="74"/>
        <v>1</v>
      </c>
      <c r="H292" s="21">
        <f t="shared" si="75"/>
        <v>1</v>
      </c>
      <c r="I292" s="21">
        <f t="shared" si="76"/>
        <v>1</v>
      </c>
      <c r="J292" s="21">
        <f t="shared" si="77"/>
        <v>1</v>
      </c>
      <c r="K292" s="21">
        <f t="shared" si="78"/>
        <v>1</v>
      </c>
      <c r="L292" s="21">
        <f t="shared" si="79"/>
        <v>1</v>
      </c>
      <c r="M292" s="21">
        <f t="shared" si="80"/>
        <v>1</v>
      </c>
      <c r="N292" s="21">
        <f t="shared" si="81"/>
        <v>1</v>
      </c>
      <c r="O292" s="21">
        <f t="shared" si="82"/>
        <v>1</v>
      </c>
      <c r="P292" s="21">
        <f t="shared" si="83"/>
        <v>1</v>
      </c>
      <c r="Q292" s="21">
        <f t="shared" si="84"/>
        <v>1</v>
      </c>
      <c r="R292" s="21">
        <f t="shared" si="85"/>
        <v>1</v>
      </c>
      <c r="S292" s="21">
        <f t="shared" si="86"/>
        <v>1</v>
      </c>
      <c r="T292" s="21">
        <f t="shared" si="87"/>
        <v>1</v>
      </c>
      <c r="U292" s="21">
        <f t="shared" si="88"/>
        <v>1</v>
      </c>
      <c r="V292" s="21">
        <f t="shared" si="89"/>
        <v>1</v>
      </c>
    </row>
    <row r="293" spans="1:22" x14ac:dyDescent="0.25">
      <c r="A293">
        <f>Tabelle2!A309</f>
        <v>0</v>
      </c>
      <c r="B293">
        <f>Tabelle2!$N309+(B$11*Tabelle2!$O309)</f>
        <v>0</v>
      </c>
      <c r="C293">
        <f>Tabelle2!$N309+(C$11*Tabelle2!$O309)</f>
        <v>0</v>
      </c>
      <c r="D293">
        <f>Tabelle2!$N309+(D$11*Tabelle2!$O309)</f>
        <v>0</v>
      </c>
      <c r="E293" s="21">
        <f t="shared" si="72"/>
        <v>1</v>
      </c>
      <c r="F293" s="21">
        <f t="shared" si="73"/>
        <v>1</v>
      </c>
      <c r="G293" s="21">
        <f t="shared" si="74"/>
        <v>1</v>
      </c>
      <c r="H293" s="21">
        <f t="shared" si="75"/>
        <v>1</v>
      </c>
      <c r="I293" s="21">
        <f t="shared" si="76"/>
        <v>1</v>
      </c>
      <c r="J293" s="21">
        <f t="shared" si="77"/>
        <v>1</v>
      </c>
      <c r="K293" s="21">
        <f t="shared" si="78"/>
        <v>1</v>
      </c>
      <c r="L293" s="21">
        <f t="shared" si="79"/>
        <v>1</v>
      </c>
      <c r="M293" s="21">
        <f t="shared" si="80"/>
        <v>1</v>
      </c>
      <c r="N293" s="21">
        <f t="shared" si="81"/>
        <v>1</v>
      </c>
      <c r="O293" s="21">
        <f t="shared" si="82"/>
        <v>1</v>
      </c>
      <c r="P293" s="21">
        <f t="shared" si="83"/>
        <v>1</v>
      </c>
      <c r="Q293" s="21">
        <f t="shared" si="84"/>
        <v>1</v>
      </c>
      <c r="R293" s="21">
        <f t="shared" si="85"/>
        <v>1</v>
      </c>
      <c r="S293" s="21">
        <f t="shared" si="86"/>
        <v>1</v>
      </c>
      <c r="T293" s="21">
        <f t="shared" si="87"/>
        <v>1</v>
      </c>
      <c r="U293" s="21">
        <f t="shared" si="88"/>
        <v>1</v>
      </c>
      <c r="V293" s="21">
        <f t="shared" si="89"/>
        <v>1</v>
      </c>
    </row>
    <row r="294" spans="1:22" x14ac:dyDescent="0.25">
      <c r="A294">
        <f>Tabelle2!A310</f>
        <v>0</v>
      </c>
      <c r="B294">
        <f>Tabelle2!$N310+(B$11*Tabelle2!$O310)</f>
        <v>0</v>
      </c>
      <c r="C294">
        <f>Tabelle2!$N310+(C$11*Tabelle2!$O310)</f>
        <v>0</v>
      </c>
      <c r="D294">
        <f>Tabelle2!$N310+(D$11*Tabelle2!$O310)</f>
        <v>0</v>
      </c>
      <c r="E294" s="21">
        <f t="shared" si="72"/>
        <v>1</v>
      </c>
      <c r="F294" s="21">
        <f t="shared" si="73"/>
        <v>1</v>
      </c>
      <c r="G294" s="21">
        <f t="shared" si="74"/>
        <v>1</v>
      </c>
      <c r="H294" s="21">
        <f t="shared" si="75"/>
        <v>1</v>
      </c>
      <c r="I294" s="21">
        <f t="shared" si="76"/>
        <v>1</v>
      </c>
      <c r="J294" s="21">
        <f t="shared" si="77"/>
        <v>1</v>
      </c>
      <c r="K294" s="21">
        <f t="shared" si="78"/>
        <v>1</v>
      </c>
      <c r="L294" s="21">
        <f t="shared" si="79"/>
        <v>1</v>
      </c>
      <c r="M294" s="21">
        <f t="shared" si="80"/>
        <v>1</v>
      </c>
      <c r="N294" s="21">
        <f t="shared" si="81"/>
        <v>1</v>
      </c>
      <c r="O294" s="21">
        <f t="shared" si="82"/>
        <v>1</v>
      </c>
      <c r="P294" s="21">
        <f t="shared" si="83"/>
        <v>1</v>
      </c>
      <c r="Q294" s="21">
        <f t="shared" si="84"/>
        <v>1</v>
      </c>
      <c r="R294" s="21">
        <f t="shared" si="85"/>
        <v>1</v>
      </c>
      <c r="S294" s="21">
        <f t="shared" si="86"/>
        <v>1</v>
      </c>
      <c r="T294" s="21">
        <f t="shared" si="87"/>
        <v>1</v>
      </c>
      <c r="U294" s="21">
        <f t="shared" si="88"/>
        <v>1</v>
      </c>
      <c r="V294" s="21">
        <f t="shared" si="89"/>
        <v>1</v>
      </c>
    </row>
    <row r="295" spans="1:22" x14ac:dyDescent="0.25">
      <c r="A295">
        <f>Tabelle2!A311</f>
        <v>0</v>
      </c>
      <c r="B295">
        <f>Tabelle2!$N311+(B$11*Tabelle2!$O311)</f>
        <v>0</v>
      </c>
      <c r="C295">
        <f>Tabelle2!$N311+(C$11*Tabelle2!$O311)</f>
        <v>0</v>
      </c>
      <c r="D295">
        <f>Tabelle2!$N311+(D$11*Tabelle2!$O311)</f>
        <v>0</v>
      </c>
      <c r="E295" s="21">
        <f t="shared" si="72"/>
        <v>1</v>
      </c>
      <c r="F295" s="21">
        <f t="shared" si="73"/>
        <v>1</v>
      </c>
      <c r="G295" s="21">
        <f t="shared" si="74"/>
        <v>1</v>
      </c>
      <c r="H295" s="21">
        <f t="shared" si="75"/>
        <v>1</v>
      </c>
      <c r="I295" s="21">
        <f t="shared" si="76"/>
        <v>1</v>
      </c>
      <c r="J295" s="21">
        <f t="shared" si="77"/>
        <v>1</v>
      </c>
      <c r="K295" s="21">
        <f t="shared" si="78"/>
        <v>1</v>
      </c>
      <c r="L295" s="21">
        <f t="shared" si="79"/>
        <v>1</v>
      </c>
      <c r="M295" s="21">
        <f t="shared" si="80"/>
        <v>1</v>
      </c>
      <c r="N295" s="21">
        <f t="shared" si="81"/>
        <v>1</v>
      </c>
      <c r="O295" s="21">
        <f t="shared" si="82"/>
        <v>1</v>
      </c>
      <c r="P295" s="21">
        <f t="shared" si="83"/>
        <v>1</v>
      </c>
      <c r="Q295" s="21">
        <f t="shared" si="84"/>
        <v>1</v>
      </c>
      <c r="R295" s="21">
        <f t="shared" si="85"/>
        <v>1</v>
      </c>
      <c r="S295" s="21">
        <f t="shared" si="86"/>
        <v>1</v>
      </c>
      <c r="T295" s="21">
        <f t="shared" si="87"/>
        <v>1</v>
      </c>
      <c r="U295" s="21">
        <f t="shared" si="88"/>
        <v>1</v>
      </c>
      <c r="V295" s="21">
        <f t="shared" si="89"/>
        <v>1</v>
      </c>
    </row>
    <row r="296" spans="1:22" x14ac:dyDescent="0.25">
      <c r="A296">
        <f>Tabelle2!A312</f>
        <v>0</v>
      </c>
      <c r="B296">
        <f>Tabelle2!$N312+(B$11*Tabelle2!$O312)</f>
        <v>0</v>
      </c>
      <c r="C296">
        <f>Tabelle2!$N312+(C$11*Tabelle2!$O312)</f>
        <v>0</v>
      </c>
      <c r="D296">
        <f>Tabelle2!$N312+(D$11*Tabelle2!$O312)</f>
        <v>0</v>
      </c>
      <c r="E296" s="21">
        <f t="shared" si="72"/>
        <v>1</v>
      </c>
      <c r="F296" s="21">
        <f t="shared" si="73"/>
        <v>1</v>
      </c>
      <c r="G296" s="21">
        <f t="shared" si="74"/>
        <v>1</v>
      </c>
      <c r="H296" s="21">
        <f t="shared" si="75"/>
        <v>1</v>
      </c>
      <c r="I296" s="21">
        <f t="shared" si="76"/>
        <v>1</v>
      </c>
      <c r="J296" s="21">
        <f t="shared" si="77"/>
        <v>1</v>
      </c>
      <c r="K296" s="21">
        <f t="shared" si="78"/>
        <v>1</v>
      </c>
      <c r="L296" s="21">
        <f t="shared" si="79"/>
        <v>1</v>
      </c>
      <c r="M296" s="21">
        <f t="shared" si="80"/>
        <v>1</v>
      </c>
      <c r="N296" s="21">
        <f t="shared" si="81"/>
        <v>1</v>
      </c>
      <c r="O296" s="21">
        <f t="shared" si="82"/>
        <v>1</v>
      </c>
      <c r="P296" s="21">
        <f t="shared" si="83"/>
        <v>1</v>
      </c>
      <c r="Q296" s="21">
        <f t="shared" si="84"/>
        <v>1</v>
      </c>
      <c r="R296" s="21">
        <f t="shared" si="85"/>
        <v>1</v>
      </c>
      <c r="S296" s="21">
        <f t="shared" si="86"/>
        <v>1</v>
      </c>
      <c r="T296" s="21">
        <f t="shared" si="87"/>
        <v>1</v>
      </c>
      <c r="U296" s="21">
        <f t="shared" si="88"/>
        <v>1</v>
      </c>
      <c r="V296" s="21">
        <f t="shared" si="89"/>
        <v>1</v>
      </c>
    </row>
    <row r="297" spans="1:22" x14ac:dyDescent="0.25">
      <c r="A297">
        <f>Tabelle2!A313</f>
        <v>0</v>
      </c>
      <c r="B297">
        <f>Tabelle2!$N313+(B$11*Tabelle2!$O313)</f>
        <v>0</v>
      </c>
      <c r="C297">
        <f>Tabelle2!$N313+(C$11*Tabelle2!$O313)</f>
        <v>0</v>
      </c>
      <c r="D297">
        <f>Tabelle2!$N313+(D$11*Tabelle2!$O313)</f>
        <v>0</v>
      </c>
      <c r="E297" s="21">
        <f t="shared" si="72"/>
        <v>1</v>
      </c>
      <c r="F297" s="21">
        <f t="shared" si="73"/>
        <v>1</v>
      </c>
      <c r="G297" s="21">
        <f t="shared" si="74"/>
        <v>1</v>
      </c>
      <c r="H297" s="21">
        <f t="shared" si="75"/>
        <v>1</v>
      </c>
      <c r="I297" s="21">
        <f t="shared" si="76"/>
        <v>1</v>
      </c>
      <c r="J297" s="21">
        <f t="shared" si="77"/>
        <v>1</v>
      </c>
      <c r="K297" s="21">
        <f t="shared" si="78"/>
        <v>1</v>
      </c>
      <c r="L297" s="21">
        <f t="shared" si="79"/>
        <v>1</v>
      </c>
      <c r="M297" s="21">
        <f t="shared" si="80"/>
        <v>1</v>
      </c>
      <c r="N297" s="21">
        <f t="shared" si="81"/>
        <v>1</v>
      </c>
      <c r="O297" s="21">
        <f t="shared" si="82"/>
        <v>1</v>
      </c>
      <c r="P297" s="21">
        <f t="shared" si="83"/>
        <v>1</v>
      </c>
      <c r="Q297" s="21">
        <f t="shared" si="84"/>
        <v>1</v>
      </c>
      <c r="R297" s="21">
        <f t="shared" si="85"/>
        <v>1</v>
      </c>
      <c r="S297" s="21">
        <f t="shared" si="86"/>
        <v>1</v>
      </c>
      <c r="T297" s="21">
        <f t="shared" si="87"/>
        <v>1</v>
      </c>
      <c r="U297" s="21">
        <f t="shared" si="88"/>
        <v>1</v>
      </c>
      <c r="V297" s="21">
        <f t="shared" si="89"/>
        <v>1</v>
      </c>
    </row>
    <row r="298" spans="1:22" x14ac:dyDescent="0.25">
      <c r="A298">
        <f>Tabelle2!A314</f>
        <v>0</v>
      </c>
      <c r="B298">
        <f>Tabelle2!$N314+(B$11*Tabelle2!$O314)</f>
        <v>0</v>
      </c>
      <c r="C298">
        <f>Tabelle2!$N314+(C$11*Tabelle2!$O314)</f>
        <v>0</v>
      </c>
      <c r="D298">
        <f>Tabelle2!$N314+(D$11*Tabelle2!$O314)</f>
        <v>0</v>
      </c>
      <c r="E298" s="21">
        <f t="shared" si="72"/>
        <v>1</v>
      </c>
      <c r="F298" s="21">
        <f t="shared" si="73"/>
        <v>1</v>
      </c>
      <c r="G298" s="21">
        <f t="shared" si="74"/>
        <v>1</v>
      </c>
      <c r="H298" s="21">
        <f t="shared" si="75"/>
        <v>1</v>
      </c>
      <c r="I298" s="21">
        <f t="shared" si="76"/>
        <v>1</v>
      </c>
      <c r="J298" s="21">
        <f t="shared" si="77"/>
        <v>1</v>
      </c>
      <c r="K298" s="21">
        <f t="shared" si="78"/>
        <v>1</v>
      </c>
      <c r="L298" s="21">
        <f t="shared" si="79"/>
        <v>1</v>
      </c>
      <c r="M298" s="21">
        <f t="shared" si="80"/>
        <v>1</v>
      </c>
      <c r="N298" s="21">
        <f t="shared" si="81"/>
        <v>1</v>
      </c>
      <c r="O298" s="21">
        <f t="shared" si="82"/>
        <v>1</v>
      </c>
      <c r="P298" s="21">
        <f t="shared" si="83"/>
        <v>1</v>
      </c>
      <c r="Q298" s="21">
        <f t="shared" si="84"/>
        <v>1</v>
      </c>
      <c r="R298" s="21">
        <f t="shared" si="85"/>
        <v>1</v>
      </c>
      <c r="S298" s="21">
        <f t="shared" si="86"/>
        <v>1</v>
      </c>
      <c r="T298" s="21">
        <f t="shared" si="87"/>
        <v>1</v>
      </c>
      <c r="U298" s="21">
        <f t="shared" si="88"/>
        <v>1</v>
      </c>
      <c r="V298" s="21">
        <f t="shared" si="89"/>
        <v>1</v>
      </c>
    </row>
    <row r="299" spans="1:22" x14ac:dyDescent="0.25">
      <c r="A299">
        <f>Tabelle2!A315</f>
        <v>0</v>
      </c>
      <c r="B299">
        <f>Tabelle2!$N315+(B$11*Tabelle2!$O315)</f>
        <v>0</v>
      </c>
      <c r="C299">
        <f>Tabelle2!$N315+(C$11*Tabelle2!$O315)</f>
        <v>0</v>
      </c>
      <c r="D299">
        <f>Tabelle2!$N315+(D$11*Tabelle2!$O315)</f>
        <v>0</v>
      </c>
      <c r="E299" s="21">
        <f t="shared" si="72"/>
        <v>1</v>
      </c>
      <c r="F299" s="21">
        <f t="shared" si="73"/>
        <v>1</v>
      </c>
      <c r="G299" s="21">
        <f t="shared" si="74"/>
        <v>1</v>
      </c>
      <c r="H299" s="21">
        <f t="shared" si="75"/>
        <v>1</v>
      </c>
      <c r="I299" s="21">
        <f t="shared" si="76"/>
        <v>1</v>
      </c>
      <c r="J299" s="21">
        <f t="shared" si="77"/>
        <v>1</v>
      </c>
      <c r="K299" s="21">
        <f t="shared" si="78"/>
        <v>1</v>
      </c>
      <c r="L299" s="21">
        <f t="shared" si="79"/>
        <v>1</v>
      </c>
      <c r="M299" s="21">
        <f t="shared" si="80"/>
        <v>1</v>
      </c>
      <c r="N299" s="21">
        <f t="shared" si="81"/>
        <v>1</v>
      </c>
      <c r="O299" s="21">
        <f t="shared" si="82"/>
        <v>1</v>
      </c>
      <c r="P299" s="21">
        <f t="shared" si="83"/>
        <v>1</v>
      </c>
      <c r="Q299" s="21">
        <f t="shared" si="84"/>
        <v>1</v>
      </c>
      <c r="R299" s="21">
        <f t="shared" si="85"/>
        <v>1</v>
      </c>
      <c r="S299" s="21">
        <f t="shared" si="86"/>
        <v>1</v>
      </c>
      <c r="T299" s="21">
        <f t="shared" si="87"/>
        <v>1</v>
      </c>
      <c r="U299" s="21">
        <f t="shared" si="88"/>
        <v>1</v>
      </c>
      <c r="V299" s="21">
        <f t="shared" si="89"/>
        <v>1</v>
      </c>
    </row>
    <row r="300" spans="1:22" x14ac:dyDescent="0.25">
      <c r="A300">
        <f>Tabelle2!A316</f>
        <v>0</v>
      </c>
      <c r="B300">
        <f>Tabelle2!$N316+(B$11*Tabelle2!$O316)</f>
        <v>0</v>
      </c>
      <c r="C300">
        <f>Tabelle2!$N316+(C$11*Tabelle2!$O316)</f>
        <v>0</v>
      </c>
      <c r="D300">
        <f>Tabelle2!$N316+(D$11*Tabelle2!$O316)</f>
        <v>0</v>
      </c>
      <c r="E300" s="21">
        <f t="shared" si="72"/>
        <v>1</v>
      </c>
      <c r="F300" s="21">
        <f t="shared" si="73"/>
        <v>1</v>
      </c>
      <c r="G300" s="21">
        <f t="shared" si="74"/>
        <v>1</v>
      </c>
      <c r="H300" s="21">
        <f t="shared" si="75"/>
        <v>1</v>
      </c>
      <c r="I300" s="21">
        <f t="shared" si="76"/>
        <v>1</v>
      </c>
      <c r="J300" s="21">
        <f t="shared" si="77"/>
        <v>1</v>
      </c>
      <c r="K300" s="21">
        <f t="shared" si="78"/>
        <v>1</v>
      </c>
      <c r="L300" s="21">
        <f t="shared" si="79"/>
        <v>1</v>
      </c>
      <c r="M300" s="21">
        <f t="shared" si="80"/>
        <v>1</v>
      </c>
      <c r="N300" s="21">
        <f t="shared" si="81"/>
        <v>1</v>
      </c>
      <c r="O300" s="21">
        <f t="shared" si="82"/>
        <v>1</v>
      </c>
      <c r="P300" s="21">
        <f t="shared" si="83"/>
        <v>1</v>
      </c>
      <c r="Q300" s="21">
        <f t="shared" si="84"/>
        <v>1</v>
      </c>
      <c r="R300" s="21">
        <f t="shared" si="85"/>
        <v>1</v>
      </c>
      <c r="S300" s="21">
        <f t="shared" si="86"/>
        <v>1</v>
      </c>
      <c r="T300" s="21">
        <f t="shared" si="87"/>
        <v>1</v>
      </c>
      <c r="U300" s="21">
        <f t="shared" si="88"/>
        <v>1</v>
      </c>
      <c r="V300" s="21">
        <f t="shared" si="89"/>
        <v>1</v>
      </c>
    </row>
    <row r="301" spans="1:22" x14ac:dyDescent="0.25">
      <c r="A301">
        <f>Tabelle2!A317</f>
        <v>0</v>
      </c>
      <c r="B301">
        <f>Tabelle2!$N317+(B$11*Tabelle2!$O317)</f>
        <v>0</v>
      </c>
      <c r="C301">
        <f>Tabelle2!$N317+(C$11*Tabelle2!$O317)</f>
        <v>0</v>
      </c>
      <c r="D301">
        <f>Tabelle2!$N317+(D$11*Tabelle2!$O317)</f>
        <v>0</v>
      </c>
      <c r="E301" s="21">
        <f t="shared" si="72"/>
        <v>1</v>
      </c>
      <c r="F301" s="21">
        <f t="shared" si="73"/>
        <v>1</v>
      </c>
      <c r="G301" s="21">
        <f t="shared" si="74"/>
        <v>1</v>
      </c>
      <c r="H301" s="21">
        <f t="shared" si="75"/>
        <v>1</v>
      </c>
      <c r="I301" s="21">
        <f t="shared" si="76"/>
        <v>1</v>
      </c>
      <c r="J301" s="21">
        <f t="shared" si="77"/>
        <v>1</v>
      </c>
      <c r="K301" s="21">
        <f t="shared" si="78"/>
        <v>1</v>
      </c>
      <c r="L301" s="21">
        <f t="shared" si="79"/>
        <v>1</v>
      </c>
      <c r="M301" s="21">
        <f t="shared" si="80"/>
        <v>1</v>
      </c>
      <c r="N301" s="21">
        <f t="shared" si="81"/>
        <v>1</v>
      </c>
      <c r="O301" s="21">
        <f t="shared" si="82"/>
        <v>1</v>
      </c>
      <c r="P301" s="21">
        <f t="shared" si="83"/>
        <v>1</v>
      </c>
      <c r="Q301" s="21">
        <f t="shared" si="84"/>
        <v>1</v>
      </c>
      <c r="R301" s="21">
        <f t="shared" si="85"/>
        <v>1</v>
      </c>
      <c r="S301" s="21">
        <f t="shared" si="86"/>
        <v>1</v>
      </c>
      <c r="T301" s="21">
        <f t="shared" si="87"/>
        <v>1</v>
      </c>
      <c r="U301" s="21">
        <f t="shared" si="88"/>
        <v>1</v>
      </c>
      <c r="V301" s="21">
        <f t="shared" si="89"/>
        <v>1</v>
      </c>
    </row>
    <row r="302" spans="1:22" x14ac:dyDescent="0.25">
      <c r="A302">
        <f>Tabelle2!A318</f>
        <v>0</v>
      </c>
      <c r="B302">
        <f>Tabelle2!$N318+(B$11*Tabelle2!$O318)</f>
        <v>0</v>
      </c>
      <c r="C302">
        <f>Tabelle2!$N318+(C$11*Tabelle2!$O318)</f>
        <v>0</v>
      </c>
      <c r="D302">
        <f>Tabelle2!$N318+(D$11*Tabelle2!$O318)</f>
        <v>0</v>
      </c>
      <c r="E302" s="21">
        <f t="shared" si="72"/>
        <v>1</v>
      </c>
      <c r="F302" s="21">
        <f t="shared" si="73"/>
        <v>1</v>
      </c>
      <c r="G302" s="21">
        <f t="shared" si="74"/>
        <v>1</v>
      </c>
      <c r="H302" s="21">
        <f t="shared" si="75"/>
        <v>1</v>
      </c>
      <c r="I302" s="21">
        <f t="shared" si="76"/>
        <v>1</v>
      </c>
      <c r="J302" s="21">
        <f t="shared" si="77"/>
        <v>1</v>
      </c>
      <c r="K302" s="21">
        <f t="shared" si="78"/>
        <v>1</v>
      </c>
      <c r="L302" s="21">
        <f t="shared" si="79"/>
        <v>1</v>
      </c>
      <c r="M302" s="21">
        <f t="shared" si="80"/>
        <v>1</v>
      </c>
      <c r="N302" s="21">
        <f t="shared" si="81"/>
        <v>1</v>
      </c>
      <c r="O302" s="21">
        <f t="shared" si="82"/>
        <v>1</v>
      </c>
      <c r="P302" s="21">
        <f t="shared" si="83"/>
        <v>1</v>
      </c>
      <c r="Q302" s="21">
        <f t="shared" si="84"/>
        <v>1</v>
      </c>
      <c r="R302" s="21">
        <f t="shared" si="85"/>
        <v>1</v>
      </c>
      <c r="S302" s="21">
        <f t="shared" si="86"/>
        <v>1</v>
      </c>
      <c r="T302" s="21">
        <f t="shared" si="87"/>
        <v>1</v>
      </c>
      <c r="U302" s="21">
        <f t="shared" si="88"/>
        <v>1</v>
      </c>
      <c r="V302" s="21">
        <f t="shared" si="89"/>
        <v>1</v>
      </c>
    </row>
    <row r="303" spans="1:22" x14ac:dyDescent="0.25">
      <c r="A303">
        <f>Tabelle2!A319</f>
        <v>0</v>
      </c>
      <c r="B303">
        <f>Tabelle2!$N319+(B$11*Tabelle2!$O319)</f>
        <v>0</v>
      </c>
      <c r="C303">
        <f>Tabelle2!$N319+(C$11*Tabelle2!$O319)</f>
        <v>0</v>
      </c>
      <c r="D303">
        <f>Tabelle2!$N319+(D$11*Tabelle2!$O319)</f>
        <v>0</v>
      </c>
      <c r="E303" s="21">
        <f t="shared" si="72"/>
        <v>1</v>
      </c>
      <c r="F303" s="21">
        <f t="shared" si="73"/>
        <v>1</v>
      </c>
      <c r="G303" s="21">
        <f t="shared" si="74"/>
        <v>1</v>
      </c>
      <c r="H303" s="21">
        <f t="shared" si="75"/>
        <v>1</v>
      </c>
      <c r="I303" s="21">
        <f t="shared" si="76"/>
        <v>1</v>
      </c>
      <c r="J303" s="21">
        <f t="shared" si="77"/>
        <v>1</v>
      </c>
      <c r="K303" s="21">
        <f t="shared" si="78"/>
        <v>1</v>
      </c>
      <c r="L303" s="21">
        <f t="shared" si="79"/>
        <v>1</v>
      </c>
      <c r="M303" s="21">
        <f t="shared" si="80"/>
        <v>1</v>
      </c>
      <c r="N303" s="21">
        <f t="shared" si="81"/>
        <v>1</v>
      </c>
      <c r="O303" s="21">
        <f t="shared" si="82"/>
        <v>1</v>
      </c>
      <c r="P303" s="21">
        <f t="shared" si="83"/>
        <v>1</v>
      </c>
      <c r="Q303" s="21">
        <f t="shared" si="84"/>
        <v>1</v>
      </c>
      <c r="R303" s="21">
        <f t="shared" si="85"/>
        <v>1</v>
      </c>
      <c r="S303" s="21">
        <f t="shared" si="86"/>
        <v>1</v>
      </c>
      <c r="T303" s="21">
        <f t="shared" si="87"/>
        <v>1</v>
      </c>
      <c r="U303" s="21">
        <f t="shared" si="88"/>
        <v>1</v>
      </c>
      <c r="V303" s="21">
        <f t="shared" si="89"/>
        <v>1</v>
      </c>
    </row>
    <row r="304" spans="1:22" x14ac:dyDescent="0.25">
      <c r="A304">
        <f>Tabelle2!A320</f>
        <v>0</v>
      </c>
      <c r="B304">
        <f>Tabelle2!$N320+(B$11*Tabelle2!$O320)</f>
        <v>0</v>
      </c>
      <c r="C304">
        <f>Tabelle2!$N320+(C$11*Tabelle2!$O320)</f>
        <v>0</v>
      </c>
      <c r="D304">
        <f>Tabelle2!$N320+(D$11*Tabelle2!$O320)</f>
        <v>0</v>
      </c>
      <c r="E304" s="21">
        <f t="shared" si="72"/>
        <v>1</v>
      </c>
      <c r="F304" s="21">
        <f t="shared" si="73"/>
        <v>1</v>
      </c>
      <c r="G304" s="21">
        <f t="shared" si="74"/>
        <v>1</v>
      </c>
      <c r="H304" s="21">
        <f t="shared" si="75"/>
        <v>1</v>
      </c>
      <c r="I304" s="21">
        <f t="shared" si="76"/>
        <v>1</v>
      </c>
      <c r="J304" s="21">
        <f t="shared" si="77"/>
        <v>1</v>
      </c>
      <c r="K304" s="21">
        <f t="shared" si="78"/>
        <v>1</v>
      </c>
      <c r="L304" s="21">
        <f t="shared" si="79"/>
        <v>1</v>
      </c>
      <c r="M304" s="21">
        <f t="shared" si="80"/>
        <v>1</v>
      </c>
      <c r="N304" s="21">
        <f t="shared" si="81"/>
        <v>1</v>
      </c>
      <c r="O304" s="21">
        <f t="shared" si="82"/>
        <v>1</v>
      </c>
      <c r="P304" s="21">
        <f t="shared" si="83"/>
        <v>1</v>
      </c>
      <c r="Q304" s="21">
        <f t="shared" si="84"/>
        <v>1</v>
      </c>
      <c r="R304" s="21">
        <f t="shared" si="85"/>
        <v>1</v>
      </c>
      <c r="S304" s="21">
        <f t="shared" si="86"/>
        <v>1</v>
      </c>
      <c r="T304" s="21">
        <f t="shared" si="87"/>
        <v>1</v>
      </c>
      <c r="U304" s="21">
        <f t="shared" si="88"/>
        <v>1</v>
      </c>
      <c r="V304" s="21">
        <f t="shared" si="89"/>
        <v>1</v>
      </c>
    </row>
    <row r="305" spans="1:22" x14ac:dyDescent="0.25">
      <c r="A305">
        <f>Tabelle2!A321</f>
        <v>0</v>
      </c>
      <c r="B305">
        <f>Tabelle2!$N321+(B$11*Tabelle2!$O321)</f>
        <v>0</v>
      </c>
      <c r="C305">
        <f>Tabelle2!$N321+(C$11*Tabelle2!$O321)</f>
        <v>0</v>
      </c>
      <c r="D305">
        <f>Tabelle2!$N321+(D$11*Tabelle2!$O321)</f>
        <v>0</v>
      </c>
      <c r="E305" s="21">
        <f t="shared" si="72"/>
        <v>1</v>
      </c>
      <c r="F305" s="21">
        <f t="shared" si="73"/>
        <v>1</v>
      </c>
      <c r="G305" s="21">
        <f t="shared" si="74"/>
        <v>1</v>
      </c>
      <c r="H305" s="21">
        <f t="shared" si="75"/>
        <v>1</v>
      </c>
      <c r="I305" s="21">
        <f t="shared" si="76"/>
        <v>1</v>
      </c>
      <c r="J305" s="21">
        <f t="shared" si="77"/>
        <v>1</v>
      </c>
      <c r="K305" s="21">
        <f t="shared" si="78"/>
        <v>1</v>
      </c>
      <c r="L305" s="21">
        <f t="shared" si="79"/>
        <v>1</v>
      </c>
      <c r="M305" s="21">
        <f t="shared" si="80"/>
        <v>1</v>
      </c>
      <c r="N305" s="21">
        <f t="shared" si="81"/>
        <v>1</v>
      </c>
      <c r="O305" s="21">
        <f t="shared" si="82"/>
        <v>1</v>
      </c>
      <c r="P305" s="21">
        <f t="shared" si="83"/>
        <v>1</v>
      </c>
      <c r="Q305" s="21">
        <f t="shared" si="84"/>
        <v>1</v>
      </c>
      <c r="R305" s="21">
        <f t="shared" si="85"/>
        <v>1</v>
      </c>
      <c r="S305" s="21">
        <f t="shared" si="86"/>
        <v>1</v>
      </c>
      <c r="T305" s="21">
        <f t="shared" si="87"/>
        <v>1</v>
      </c>
      <c r="U305" s="21">
        <f t="shared" si="88"/>
        <v>1</v>
      </c>
      <c r="V305" s="21">
        <f t="shared" si="89"/>
        <v>1</v>
      </c>
    </row>
    <row r="306" spans="1:22" x14ac:dyDescent="0.25">
      <c r="A306">
        <f>Tabelle2!A322</f>
        <v>0</v>
      </c>
      <c r="B306">
        <f>Tabelle2!$N322+(B$11*Tabelle2!$O322)</f>
        <v>0</v>
      </c>
      <c r="C306">
        <f>Tabelle2!$N322+(C$11*Tabelle2!$O322)</f>
        <v>0</v>
      </c>
      <c r="D306">
        <f>Tabelle2!$N322+(D$11*Tabelle2!$O322)</f>
        <v>0</v>
      </c>
      <c r="E306" s="21">
        <f t="shared" si="72"/>
        <v>1</v>
      </c>
      <c r="F306" s="21">
        <f t="shared" si="73"/>
        <v>1</v>
      </c>
      <c r="G306" s="21">
        <f t="shared" si="74"/>
        <v>1</v>
      </c>
      <c r="H306" s="21">
        <f t="shared" si="75"/>
        <v>1</v>
      </c>
      <c r="I306" s="21">
        <f t="shared" si="76"/>
        <v>1</v>
      </c>
      <c r="J306" s="21">
        <f t="shared" si="77"/>
        <v>1</v>
      </c>
      <c r="K306" s="21">
        <f t="shared" si="78"/>
        <v>1</v>
      </c>
      <c r="L306" s="21">
        <f t="shared" si="79"/>
        <v>1</v>
      </c>
      <c r="M306" s="21">
        <f t="shared" si="80"/>
        <v>1</v>
      </c>
      <c r="N306" s="21">
        <f t="shared" si="81"/>
        <v>1</v>
      </c>
      <c r="O306" s="21">
        <f t="shared" si="82"/>
        <v>1</v>
      </c>
      <c r="P306" s="21">
        <f t="shared" si="83"/>
        <v>1</v>
      </c>
      <c r="Q306" s="21">
        <f t="shared" si="84"/>
        <v>1</v>
      </c>
      <c r="R306" s="21">
        <f t="shared" si="85"/>
        <v>1</v>
      </c>
      <c r="S306" s="21">
        <f t="shared" si="86"/>
        <v>1</v>
      </c>
      <c r="T306" s="21">
        <f t="shared" si="87"/>
        <v>1</v>
      </c>
      <c r="U306" s="21">
        <f t="shared" si="88"/>
        <v>1</v>
      </c>
      <c r="V306" s="21">
        <f t="shared" si="89"/>
        <v>1</v>
      </c>
    </row>
    <row r="307" spans="1:22" x14ac:dyDescent="0.25">
      <c r="A307">
        <f>Tabelle2!A323</f>
        <v>0</v>
      </c>
      <c r="B307">
        <f>Tabelle2!$N323+(B$11*Tabelle2!$O323)</f>
        <v>0</v>
      </c>
      <c r="C307">
        <f>Tabelle2!$N323+(C$11*Tabelle2!$O323)</f>
        <v>0</v>
      </c>
      <c r="D307">
        <f>Tabelle2!$N323+(D$11*Tabelle2!$O323)</f>
        <v>0</v>
      </c>
      <c r="E307" s="21">
        <f t="shared" si="72"/>
        <v>1</v>
      </c>
      <c r="F307" s="21">
        <f t="shared" si="73"/>
        <v>1</v>
      </c>
      <c r="G307" s="21">
        <f t="shared" si="74"/>
        <v>1</v>
      </c>
      <c r="H307" s="21">
        <f t="shared" si="75"/>
        <v>1</v>
      </c>
      <c r="I307" s="21">
        <f t="shared" si="76"/>
        <v>1</v>
      </c>
      <c r="J307" s="21">
        <f t="shared" si="77"/>
        <v>1</v>
      </c>
      <c r="K307" s="21">
        <f t="shared" si="78"/>
        <v>1</v>
      </c>
      <c r="L307" s="21">
        <f t="shared" si="79"/>
        <v>1</v>
      </c>
      <c r="M307" s="21">
        <f t="shared" si="80"/>
        <v>1</v>
      </c>
      <c r="N307" s="21">
        <f t="shared" si="81"/>
        <v>1</v>
      </c>
      <c r="O307" s="21">
        <f t="shared" si="82"/>
        <v>1</v>
      </c>
      <c r="P307" s="21">
        <f t="shared" si="83"/>
        <v>1</v>
      </c>
      <c r="Q307" s="21">
        <f t="shared" si="84"/>
        <v>1</v>
      </c>
      <c r="R307" s="21">
        <f t="shared" si="85"/>
        <v>1</v>
      </c>
      <c r="S307" s="21">
        <f t="shared" si="86"/>
        <v>1</v>
      </c>
      <c r="T307" s="21">
        <f t="shared" si="87"/>
        <v>1</v>
      </c>
      <c r="U307" s="21">
        <f t="shared" si="88"/>
        <v>1</v>
      </c>
      <c r="V307" s="21">
        <f t="shared" si="89"/>
        <v>1</v>
      </c>
    </row>
    <row r="308" spans="1:22" x14ac:dyDescent="0.25">
      <c r="A308">
        <f>Tabelle2!A324</f>
        <v>0</v>
      </c>
      <c r="B308">
        <f>Tabelle2!$N324+(B$11*Tabelle2!$O324)</f>
        <v>0</v>
      </c>
      <c r="C308">
        <f>Tabelle2!$N324+(C$11*Tabelle2!$O324)</f>
        <v>0</v>
      </c>
      <c r="D308">
        <f>Tabelle2!$N324+(D$11*Tabelle2!$O324)</f>
        <v>0</v>
      </c>
      <c r="E308" s="21">
        <f t="shared" si="72"/>
        <v>1</v>
      </c>
      <c r="F308" s="21">
        <f t="shared" si="73"/>
        <v>1</v>
      </c>
      <c r="G308" s="21">
        <f t="shared" si="74"/>
        <v>1</v>
      </c>
      <c r="H308" s="21">
        <f t="shared" si="75"/>
        <v>1</v>
      </c>
      <c r="I308" s="21">
        <f t="shared" si="76"/>
        <v>1</v>
      </c>
      <c r="J308" s="21">
        <f t="shared" si="77"/>
        <v>1</v>
      </c>
      <c r="K308" s="21">
        <f t="shared" si="78"/>
        <v>1</v>
      </c>
      <c r="L308" s="21">
        <f t="shared" si="79"/>
        <v>1</v>
      </c>
      <c r="M308" s="21">
        <f t="shared" si="80"/>
        <v>1</v>
      </c>
      <c r="N308" s="21">
        <f t="shared" si="81"/>
        <v>1</v>
      </c>
      <c r="O308" s="21">
        <f t="shared" si="82"/>
        <v>1</v>
      </c>
      <c r="P308" s="21">
        <f t="shared" si="83"/>
        <v>1</v>
      </c>
      <c r="Q308" s="21">
        <f t="shared" si="84"/>
        <v>1</v>
      </c>
      <c r="R308" s="21">
        <f t="shared" si="85"/>
        <v>1</v>
      </c>
      <c r="S308" s="21">
        <f t="shared" si="86"/>
        <v>1</v>
      </c>
      <c r="T308" s="21">
        <f t="shared" si="87"/>
        <v>1</v>
      </c>
      <c r="U308" s="21">
        <f t="shared" si="88"/>
        <v>1</v>
      </c>
      <c r="V308" s="21">
        <f t="shared" si="89"/>
        <v>1</v>
      </c>
    </row>
    <row r="309" spans="1:22" x14ac:dyDescent="0.25">
      <c r="A309">
        <f>Tabelle2!A325</f>
        <v>0</v>
      </c>
      <c r="B309">
        <f>Tabelle2!$N325+(B$11*Tabelle2!$O325)</f>
        <v>0</v>
      </c>
      <c r="C309">
        <f>Tabelle2!$N325+(C$11*Tabelle2!$O325)</f>
        <v>0</v>
      </c>
      <c r="D309">
        <f>Tabelle2!$N325+(D$11*Tabelle2!$O325)</f>
        <v>0</v>
      </c>
      <c r="E309" s="21">
        <f t="shared" si="72"/>
        <v>1</v>
      </c>
      <c r="F309" s="21">
        <f t="shared" si="73"/>
        <v>1</v>
      </c>
      <c r="G309" s="21">
        <f t="shared" si="74"/>
        <v>1</v>
      </c>
      <c r="H309" s="21">
        <f t="shared" si="75"/>
        <v>1</v>
      </c>
      <c r="I309" s="21">
        <f t="shared" si="76"/>
        <v>1</v>
      </c>
      <c r="J309" s="21">
        <f t="shared" si="77"/>
        <v>1</v>
      </c>
      <c r="K309" s="21">
        <f t="shared" si="78"/>
        <v>1</v>
      </c>
      <c r="L309" s="21">
        <f t="shared" si="79"/>
        <v>1</v>
      </c>
      <c r="M309" s="21">
        <f t="shared" si="80"/>
        <v>1</v>
      </c>
      <c r="N309" s="21">
        <f t="shared" si="81"/>
        <v>1</v>
      </c>
      <c r="O309" s="21">
        <f t="shared" si="82"/>
        <v>1</v>
      </c>
      <c r="P309" s="21">
        <f t="shared" si="83"/>
        <v>1</v>
      </c>
      <c r="Q309" s="21">
        <f t="shared" si="84"/>
        <v>1</v>
      </c>
      <c r="R309" s="21">
        <f t="shared" si="85"/>
        <v>1</v>
      </c>
      <c r="S309" s="21">
        <f t="shared" si="86"/>
        <v>1</v>
      </c>
      <c r="T309" s="21">
        <f t="shared" si="87"/>
        <v>1</v>
      </c>
      <c r="U309" s="21">
        <f t="shared" si="88"/>
        <v>1</v>
      </c>
      <c r="V309" s="21">
        <f t="shared" si="89"/>
        <v>1</v>
      </c>
    </row>
    <row r="310" spans="1:22" x14ac:dyDescent="0.25">
      <c r="A310">
        <f>Tabelle2!A326</f>
        <v>0</v>
      </c>
      <c r="B310">
        <f>Tabelle2!$N326+(B$11*Tabelle2!$O326)</f>
        <v>0</v>
      </c>
      <c r="C310">
        <f>Tabelle2!$N326+(C$11*Tabelle2!$O326)</f>
        <v>0</v>
      </c>
      <c r="D310">
        <f>Tabelle2!$N326+(D$11*Tabelle2!$O326)</f>
        <v>0</v>
      </c>
      <c r="E310" s="21">
        <f t="shared" si="72"/>
        <v>1</v>
      </c>
      <c r="F310" s="21">
        <f t="shared" si="73"/>
        <v>1</v>
      </c>
      <c r="G310" s="21">
        <f t="shared" si="74"/>
        <v>1</v>
      </c>
      <c r="H310" s="21">
        <f t="shared" si="75"/>
        <v>1</v>
      </c>
      <c r="I310" s="21">
        <f t="shared" si="76"/>
        <v>1</v>
      </c>
      <c r="J310" s="21">
        <f t="shared" si="77"/>
        <v>1</v>
      </c>
      <c r="K310" s="21">
        <f t="shared" si="78"/>
        <v>1</v>
      </c>
      <c r="L310" s="21">
        <f t="shared" si="79"/>
        <v>1</v>
      </c>
      <c r="M310" s="21">
        <f t="shared" si="80"/>
        <v>1</v>
      </c>
      <c r="N310" s="21">
        <f t="shared" si="81"/>
        <v>1</v>
      </c>
      <c r="O310" s="21">
        <f t="shared" si="82"/>
        <v>1</v>
      </c>
      <c r="P310" s="21">
        <f t="shared" si="83"/>
        <v>1</v>
      </c>
      <c r="Q310" s="21">
        <f t="shared" si="84"/>
        <v>1</v>
      </c>
      <c r="R310" s="21">
        <f t="shared" si="85"/>
        <v>1</v>
      </c>
      <c r="S310" s="21">
        <f t="shared" si="86"/>
        <v>1</v>
      </c>
      <c r="T310" s="21">
        <f t="shared" si="87"/>
        <v>1</v>
      </c>
      <c r="U310" s="21">
        <f t="shared" si="88"/>
        <v>1</v>
      </c>
      <c r="V310" s="21">
        <f t="shared" si="89"/>
        <v>1</v>
      </c>
    </row>
    <row r="311" spans="1:22" x14ac:dyDescent="0.25">
      <c r="A311">
        <f>Tabelle2!A327</f>
        <v>0</v>
      </c>
      <c r="B311">
        <f>Tabelle2!$N327+(B$11*Tabelle2!$O327)</f>
        <v>0</v>
      </c>
      <c r="C311">
        <f>Tabelle2!$N327+(C$11*Tabelle2!$O327)</f>
        <v>0</v>
      </c>
      <c r="D311">
        <f>Tabelle2!$N327+(D$11*Tabelle2!$O327)</f>
        <v>0</v>
      </c>
      <c r="E311" s="21">
        <f t="shared" si="72"/>
        <v>1</v>
      </c>
      <c r="F311" s="21">
        <f t="shared" si="73"/>
        <v>1</v>
      </c>
      <c r="G311" s="21">
        <f t="shared" si="74"/>
        <v>1</v>
      </c>
      <c r="H311" s="21">
        <f t="shared" si="75"/>
        <v>1</v>
      </c>
      <c r="I311" s="21">
        <f t="shared" si="76"/>
        <v>1</v>
      </c>
      <c r="J311" s="21">
        <f t="shared" si="77"/>
        <v>1</v>
      </c>
      <c r="K311" s="21">
        <f t="shared" si="78"/>
        <v>1</v>
      </c>
      <c r="L311" s="21">
        <f t="shared" si="79"/>
        <v>1</v>
      </c>
      <c r="M311" s="21">
        <f t="shared" si="80"/>
        <v>1</v>
      </c>
      <c r="N311" s="21">
        <f t="shared" si="81"/>
        <v>1</v>
      </c>
      <c r="O311" s="21">
        <f t="shared" si="82"/>
        <v>1</v>
      </c>
      <c r="P311" s="21">
        <f t="shared" si="83"/>
        <v>1</v>
      </c>
      <c r="Q311" s="21">
        <f t="shared" si="84"/>
        <v>1</v>
      </c>
      <c r="R311" s="21">
        <f t="shared" si="85"/>
        <v>1</v>
      </c>
      <c r="S311" s="21">
        <f t="shared" si="86"/>
        <v>1</v>
      </c>
      <c r="T311" s="21">
        <f t="shared" si="87"/>
        <v>1</v>
      </c>
      <c r="U311" s="21">
        <f t="shared" si="88"/>
        <v>1</v>
      </c>
      <c r="V311" s="21">
        <f t="shared" si="89"/>
        <v>1</v>
      </c>
    </row>
    <row r="312" spans="1:22" x14ac:dyDescent="0.25">
      <c r="A312">
        <f>Tabelle2!A328</f>
        <v>0</v>
      </c>
      <c r="B312">
        <f>Tabelle2!$N328+(B$11*Tabelle2!$O328)</f>
        <v>0</v>
      </c>
      <c r="C312">
        <f>Tabelle2!$N328+(C$11*Tabelle2!$O328)</f>
        <v>0</v>
      </c>
      <c r="D312">
        <f>Tabelle2!$N328+(D$11*Tabelle2!$O328)</f>
        <v>0</v>
      </c>
      <c r="E312" s="21">
        <f t="shared" si="72"/>
        <v>1</v>
      </c>
      <c r="F312" s="21">
        <f t="shared" si="73"/>
        <v>1</v>
      </c>
      <c r="G312" s="21">
        <f t="shared" si="74"/>
        <v>1</v>
      </c>
      <c r="H312" s="21">
        <f t="shared" si="75"/>
        <v>1</v>
      </c>
      <c r="I312" s="21">
        <f t="shared" si="76"/>
        <v>1</v>
      </c>
      <c r="J312" s="21">
        <f t="shared" si="77"/>
        <v>1</v>
      </c>
      <c r="K312" s="21">
        <f t="shared" si="78"/>
        <v>1</v>
      </c>
      <c r="L312" s="21">
        <f t="shared" si="79"/>
        <v>1</v>
      </c>
      <c r="M312" s="21">
        <f t="shared" si="80"/>
        <v>1</v>
      </c>
      <c r="N312" s="21">
        <f t="shared" si="81"/>
        <v>1</v>
      </c>
      <c r="O312" s="21">
        <f t="shared" si="82"/>
        <v>1</v>
      </c>
      <c r="P312" s="21">
        <f t="shared" si="83"/>
        <v>1</v>
      </c>
      <c r="Q312" s="21">
        <f t="shared" si="84"/>
        <v>1</v>
      </c>
      <c r="R312" s="21">
        <f t="shared" si="85"/>
        <v>1</v>
      </c>
      <c r="S312" s="21">
        <f t="shared" si="86"/>
        <v>1</v>
      </c>
      <c r="T312" s="21">
        <f t="shared" si="87"/>
        <v>1</v>
      </c>
      <c r="U312" s="21">
        <f t="shared" si="88"/>
        <v>1</v>
      </c>
      <c r="V312" s="21">
        <f t="shared" si="89"/>
        <v>1</v>
      </c>
    </row>
    <row r="313" spans="1:22" x14ac:dyDescent="0.25">
      <c r="A313">
        <f>Tabelle2!A329</f>
        <v>0</v>
      </c>
      <c r="B313">
        <f>Tabelle2!$N329+(B$11*Tabelle2!$O329)</f>
        <v>0</v>
      </c>
      <c r="C313">
        <f>Tabelle2!$N329+(C$11*Tabelle2!$O329)</f>
        <v>0</v>
      </c>
      <c r="D313">
        <f>Tabelle2!$N329+(D$11*Tabelle2!$O329)</f>
        <v>0</v>
      </c>
      <c r="E313" s="21">
        <f t="shared" si="72"/>
        <v>1</v>
      </c>
      <c r="F313" s="21">
        <f t="shared" si="73"/>
        <v>1</v>
      </c>
      <c r="G313" s="21">
        <f t="shared" si="74"/>
        <v>1</v>
      </c>
      <c r="H313" s="21">
        <f t="shared" si="75"/>
        <v>1</v>
      </c>
      <c r="I313" s="21">
        <f t="shared" si="76"/>
        <v>1</v>
      </c>
      <c r="J313" s="21">
        <f t="shared" si="77"/>
        <v>1</v>
      </c>
      <c r="K313" s="21">
        <f t="shared" si="78"/>
        <v>1</v>
      </c>
      <c r="L313" s="21">
        <f t="shared" si="79"/>
        <v>1</v>
      </c>
      <c r="M313" s="21">
        <f t="shared" si="80"/>
        <v>1</v>
      </c>
      <c r="N313" s="21">
        <f t="shared" si="81"/>
        <v>1</v>
      </c>
      <c r="O313" s="21">
        <f t="shared" si="82"/>
        <v>1</v>
      </c>
      <c r="P313" s="21">
        <f t="shared" si="83"/>
        <v>1</v>
      </c>
      <c r="Q313" s="21">
        <f t="shared" si="84"/>
        <v>1</v>
      </c>
      <c r="R313" s="21">
        <f t="shared" si="85"/>
        <v>1</v>
      </c>
      <c r="S313" s="21">
        <f t="shared" si="86"/>
        <v>1</v>
      </c>
      <c r="T313" s="21">
        <f t="shared" si="87"/>
        <v>1</v>
      </c>
      <c r="U313" s="21">
        <f t="shared" si="88"/>
        <v>1</v>
      </c>
      <c r="V313" s="21">
        <f t="shared" si="89"/>
        <v>1</v>
      </c>
    </row>
    <row r="314" spans="1:22" x14ac:dyDescent="0.25">
      <c r="A314">
        <f>Tabelle2!A330</f>
        <v>0</v>
      </c>
      <c r="B314">
        <f>Tabelle2!$N330+(B$11*Tabelle2!$O330)</f>
        <v>0</v>
      </c>
      <c r="C314">
        <f>Tabelle2!$N330+(C$11*Tabelle2!$O330)</f>
        <v>0</v>
      </c>
      <c r="D314">
        <f>Tabelle2!$N330+(D$11*Tabelle2!$O330)</f>
        <v>0</v>
      </c>
      <c r="E314" s="21">
        <f t="shared" si="72"/>
        <v>1</v>
      </c>
      <c r="F314" s="21">
        <f t="shared" si="73"/>
        <v>1</v>
      </c>
      <c r="G314" s="21">
        <f t="shared" si="74"/>
        <v>1</v>
      </c>
      <c r="H314" s="21">
        <f t="shared" si="75"/>
        <v>1</v>
      </c>
      <c r="I314" s="21">
        <f t="shared" si="76"/>
        <v>1</v>
      </c>
      <c r="J314" s="21">
        <f t="shared" si="77"/>
        <v>1</v>
      </c>
      <c r="K314" s="21">
        <f t="shared" si="78"/>
        <v>1</v>
      </c>
      <c r="L314" s="21">
        <f t="shared" si="79"/>
        <v>1</v>
      </c>
      <c r="M314" s="21">
        <f t="shared" si="80"/>
        <v>1</v>
      </c>
      <c r="N314" s="21">
        <f t="shared" si="81"/>
        <v>1</v>
      </c>
      <c r="O314" s="21">
        <f t="shared" si="82"/>
        <v>1</v>
      </c>
      <c r="P314" s="21">
        <f t="shared" si="83"/>
        <v>1</v>
      </c>
      <c r="Q314" s="21">
        <f t="shared" si="84"/>
        <v>1</v>
      </c>
      <c r="R314" s="21">
        <f t="shared" si="85"/>
        <v>1</v>
      </c>
      <c r="S314" s="21">
        <f t="shared" si="86"/>
        <v>1</v>
      </c>
      <c r="T314" s="21">
        <f t="shared" si="87"/>
        <v>1</v>
      </c>
      <c r="U314" s="21">
        <f t="shared" si="88"/>
        <v>1</v>
      </c>
      <c r="V314" s="21">
        <f t="shared" si="89"/>
        <v>1</v>
      </c>
    </row>
    <row r="315" spans="1:22" x14ac:dyDescent="0.25">
      <c r="A315">
        <f>Tabelle2!A331</f>
        <v>0</v>
      </c>
      <c r="B315">
        <f>Tabelle2!$N331+(B$11*Tabelle2!$O331)</f>
        <v>0</v>
      </c>
      <c r="C315">
        <f>Tabelle2!$N331+(C$11*Tabelle2!$O331)</f>
        <v>0</v>
      </c>
      <c r="D315">
        <f>Tabelle2!$N331+(D$11*Tabelle2!$O331)</f>
        <v>0</v>
      </c>
      <c r="E315" s="21">
        <f t="shared" si="72"/>
        <v>1</v>
      </c>
      <c r="F315" s="21">
        <f t="shared" si="73"/>
        <v>1</v>
      </c>
      <c r="G315" s="21">
        <f t="shared" si="74"/>
        <v>1</v>
      </c>
      <c r="H315" s="21">
        <f t="shared" si="75"/>
        <v>1</v>
      </c>
      <c r="I315" s="21">
        <f t="shared" si="76"/>
        <v>1</v>
      </c>
      <c r="J315" s="21">
        <f t="shared" si="77"/>
        <v>1</v>
      </c>
      <c r="K315" s="21">
        <f t="shared" si="78"/>
        <v>1</v>
      </c>
      <c r="L315" s="21">
        <f t="shared" si="79"/>
        <v>1</v>
      </c>
      <c r="M315" s="21">
        <f t="shared" si="80"/>
        <v>1</v>
      </c>
      <c r="N315" s="21">
        <f t="shared" si="81"/>
        <v>1</v>
      </c>
      <c r="O315" s="21">
        <f t="shared" si="82"/>
        <v>1</v>
      </c>
      <c r="P315" s="21">
        <f t="shared" si="83"/>
        <v>1</v>
      </c>
      <c r="Q315" s="21">
        <f t="shared" si="84"/>
        <v>1</v>
      </c>
      <c r="R315" s="21">
        <f t="shared" si="85"/>
        <v>1</v>
      </c>
      <c r="S315" s="21">
        <f t="shared" si="86"/>
        <v>1</v>
      </c>
      <c r="T315" s="21">
        <f t="shared" si="87"/>
        <v>1</v>
      </c>
      <c r="U315" s="21">
        <f t="shared" si="88"/>
        <v>1</v>
      </c>
      <c r="V315" s="21">
        <f t="shared" si="89"/>
        <v>1</v>
      </c>
    </row>
    <row r="316" spans="1:22" x14ac:dyDescent="0.25">
      <c r="A316">
        <f>Tabelle2!A332</f>
        <v>0</v>
      </c>
      <c r="B316">
        <f>Tabelle2!$N332+(B$11*Tabelle2!$O332)</f>
        <v>0</v>
      </c>
      <c r="C316">
        <f>Tabelle2!$N332+(C$11*Tabelle2!$O332)</f>
        <v>0</v>
      </c>
      <c r="D316">
        <f>Tabelle2!$N332+(D$11*Tabelle2!$O332)</f>
        <v>0</v>
      </c>
      <c r="E316" s="21">
        <f t="shared" si="72"/>
        <v>1</v>
      </c>
      <c r="F316" s="21">
        <f t="shared" si="73"/>
        <v>1</v>
      </c>
      <c r="G316" s="21">
        <f t="shared" si="74"/>
        <v>1</v>
      </c>
      <c r="H316" s="21">
        <f t="shared" si="75"/>
        <v>1</v>
      </c>
      <c r="I316" s="21">
        <f t="shared" si="76"/>
        <v>1</v>
      </c>
      <c r="J316" s="21">
        <f t="shared" si="77"/>
        <v>1</v>
      </c>
      <c r="K316" s="21">
        <f t="shared" si="78"/>
        <v>1</v>
      </c>
      <c r="L316" s="21">
        <f t="shared" si="79"/>
        <v>1</v>
      </c>
      <c r="M316" s="21">
        <f t="shared" si="80"/>
        <v>1</v>
      </c>
      <c r="N316" s="21">
        <f t="shared" si="81"/>
        <v>1</v>
      </c>
      <c r="O316" s="21">
        <f t="shared" si="82"/>
        <v>1</v>
      </c>
      <c r="P316" s="21">
        <f t="shared" si="83"/>
        <v>1</v>
      </c>
      <c r="Q316" s="21">
        <f t="shared" si="84"/>
        <v>1</v>
      </c>
      <c r="R316" s="21">
        <f t="shared" si="85"/>
        <v>1</v>
      </c>
      <c r="S316" s="21">
        <f t="shared" si="86"/>
        <v>1</v>
      </c>
      <c r="T316" s="21">
        <f t="shared" si="87"/>
        <v>1</v>
      </c>
      <c r="U316" s="21">
        <f t="shared" si="88"/>
        <v>1</v>
      </c>
      <c r="V316" s="21">
        <f t="shared" si="89"/>
        <v>1</v>
      </c>
    </row>
    <row r="317" spans="1:22" x14ac:dyDescent="0.25">
      <c r="A317">
        <f>Tabelle2!A333</f>
        <v>0</v>
      </c>
      <c r="B317">
        <f>Tabelle2!$N333+(B$11*Tabelle2!$O333)</f>
        <v>0</v>
      </c>
      <c r="C317">
        <f>Tabelle2!$N333+(C$11*Tabelle2!$O333)</f>
        <v>0</v>
      </c>
      <c r="D317">
        <f>Tabelle2!$N333+(D$11*Tabelle2!$O333)</f>
        <v>0</v>
      </c>
      <c r="E317" s="21">
        <f t="shared" si="72"/>
        <v>1</v>
      </c>
      <c r="F317" s="21">
        <f t="shared" si="73"/>
        <v>1</v>
      </c>
      <c r="G317" s="21">
        <f t="shared" si="74"/>
        <v>1</v>
      </c>
      <c r="H317" s="21">
        <f t="shared" si="75"/>
        <v>1</v>
      </c>
      <c r="I317" s="21">
        <f t="shared" si="76"/>
        <v>1</v>
      </c>
      <c r="J317" s="21">
        <f t="shared" si="77"/>
        <v>1</v>
      </c>
      <c r="K317" s="21">
        <f t="shared" si="78"/>
        <v>1</v>
      </c>
      <c r="L317" s="21">
        <f t="shared" si="79"/>
        <v>1</v>
      </c>
      <c r="M317" s="21">
        <f t="shared" si="80"/>
        <v>1</v>
      </c>
      <c r="N317" s="21">
        <f t="shared" si="81"/>
        <v>1</v>
      </c>
      <c r="O317" s="21">
        <f t="shared" si="82"/>
        <v>1</v>
      </c>
      <c r="P317" s="21">
        <f t="shared" si="83"/>
        <v>1</v>
      </c>
      <c r="Q317" s="21">
        <f t="shared" si="84"/>
        <v>1</v>
      </c>
      <c r="R317" s="21">
        <f t="shared" si="85"/>
        <v>1</v>
      </c>
      <c r="S317" s="21">
        <f t="shared" si="86"/>
        <v>1</v>
      </c>
      <c r="T317" s="21">
        <f t="shared" si="87"/>
        <v>1</v>
      </c>
      <c r="U317" s="21">
        <f t="shared" si="88"/>
        <v>1</v>
      </c>
      <c r="V317" s="21">
        <f t="shared" si="89"/>
        <v>1</v>
      </c>
    </row>
    <row r="318" spans="1:22" x14ac:dyDescent="0.25">
      <c r="A318">
        <f>Tabelle2!A334</f>
        <v>0</v>
      </c>
      <c r="B318">
        <f>Tabelle2!$N334+(B$11*Tabelle2!$O334)</f>
        <v>0</v>
      </c>
      <c r="C318">
        <f>Tabelle2!$N334+(C$11*Tabelle2!$O334)</f>
        <v>0</v>
      </c>
      <c r="D318">
        <f>Tabelle2!$N334+(D$11*Tabelle2!$O334)</f>
        <v>0</v>
      </c>
      <c r="E318" s="21">
        <f t="shared" si="72"/>
        <v>1</v>
      </c>
      <c r="F318" s="21">
        <f t="shared" si="73"/>
        <v>1</v>
      </c>
      <c r="G318" s="21">
        <f t="shared" si="74"/>
        <v>1</v>
      </c>
      <c r="H318" s="21">
        <f t="shared" si="75"/>
        <v>1</v>
      </c>
      <c r="I318" s="21">
        <f t="shared" si="76"/>
        <v>1</v>
      </c>
      <c r="J318" s="21">
        <f t="shared" si="77"/>
        <v>1</v>
      </c>
      <c r="K318" s="21">
        <f t="shared" si="78"/>
        <v>1</v>
      </c>
      <c r="L318" s="21">
        <f t="shared" si="79"/>
        <v>1</v>
      </c>
      <c r="M318" s="21">
        <f t="shared" si="80"/>
        <v>1</v>
      </c>
      <c r="N318" s="21">
        <f t="shared" si="81"/>
        <v>1</v>
      </c>
      <c r="O318" s="21">
        <f t="shared" si="82"/>
        <v>1</v>
      </c>
      <c r="P318" s="21">
        <f t="shared" si="83"/>
        <v>1</v>
      </c>
      <c r="Q318" s="21">
        <f t="shared" si="84"/>
        <v>1</v>
      </c>
      <c r="R318" s="21">
        <f t="shared" si="85"/>
        <v>1</v>
      </c>
      <c r="S318" s="21">
        <f t="shared" si="86"/>
        <v>1</v>
      </c>
      <c r="T318" s="21">
        <f t="shared" si="87"/>
        <v>1</v>
      </c>
      <c r="U318" s="21">
        <f t="shared" si="88"/>
        <v>1</v>
      </c>
      <c r="V318" s="21">
        <f t="shared" si="89"/>
        <v>1</v>
      </c>
    </row>
    <row r="319" spans="1:22" x14ac:dyDescent="0.25">
      <c r="A319">
        <f>Tabelle2!A335</f>
        <v>0</v>
      </c>
      <c r="B319">
        <f>Tabelle2!$N335+(B$11*Tabelle2!$O335)</f>
        <v>0</v>
      </c>
      <c r="C319">
        <f>Tabelle2!$N335+(C$11*Tabelle2!$O335)</f>
        <v>0</v>
      </c>
      <c r="D319">
        <f>Tabelle2!$N335+(D$11*Tabelle2!$O335)</f>
        <v>0</v>
      </c>
      <c r="E319" s="21">
        <f t="shared" si="72"/>
        <v>1</v>
      </c>
      <c r="F319" s="21">
        <f t="shared" si="73"/>
        <v>1</v>
      </c>
      <c r="G319" s="21">
        <f t="shared" si="74"/>
        <v>1</v>
      </c>
      <c r="H319" s="21">
        <f t="shared" si="75"/>
        <v>1</v>
      </c>
      <c r="I319" s="21">
        <f t="shared" si="76"/>
        <v>1</v>
      </c>
      <c r="J319" s="21">
        <f t="shared" si="77"/>
        <v>1</v>
      </c>
      <c r="K319" s="21">
        <f t="shared" si="78"/>
        <v>1</v>
      </c>
      <c r="L319" s="21">
        <f t="shared" si="79"/>
        <v>1</v>
      </c>
      <c r="M319" s="21">
        <f t="shared" si="80"/>
        <v>1</v>
      </c>
      <c r="N319" s="21">
        <f t="shared" si="81"/>
        <v>1</v>
      </c>
      <c r="O319" s="21">
        <f t="shared" si="82"/>
        <v>1</v>
      </c>
      <c r="P319" s="21">
        <f t="shared" si="83"/>
        <v>1</v>
      </c>
      <c r="Q319" s="21">
        <f t="shared" si="84"/>
        <v>1</v>
      </c>
      <c r="R319" s="21">
        <f t="shared" si="85"/>
        <v>1</v>
      </c>
      <c r="S319" s="21">
        <f t="shared" si="86"/>
        <v>1</v>
      </c>
      <c r="T319" s="21">
        <f t="shared" si="87"/>
        <v>1</v>
      </c>
      <c r="U319" s="21">
        <f t="shared" si="88"/>
        <v>1</v>
      </c>
      <c r="V319" s="21">
        <f t="shared" si="89"/>
        <v>1</v>
      </c>
    </row>
    <row r="320" spans="1:22" x14ac:dyDescent="0.25">
      <c r="A320">
        <f>Tabelle2!A336</f>
        <v>0</v>
      </c>
      <c r="B320">
        <f>Tabelle2!$N336+(B$11*Tabelle2!$O336)</f>
        <v>0</v>
      </c>
      <c r="C320">
        <f>Tabelle2!$N336+(C$11*Tabelle2!$O336)</f>
        <v>0</v>
      </c>
      <c r="D320">
        <f>Tabelle2!$N336+(D$11*Tabelle2!$O336)</f>
        <v>0</v>
      </c>
      <c r="E320" s="21">
        <f t="shared" si="72"/>
        <v>1</v>
      </c>
      <c r="F320" s="21">
        <f t="shared" si="73"/>
        <v>1</v>
      </c>
      <c r="G320" s="21">
        <f t="shared" si="74"/>
        <v>1</v>
      </c>
      <c r="H320" s="21">
        <f t="shared" si="75"/>
        <v>1</v>
      </c>
      <c r="I320" s="21">
        <f t="shared" si="76"/>
        <v>1</v>
      </c>
      <c r="J320" s="21">
        <f t="shared" si="77"/>
        <v>1</v>
      </c>
      <c r="K320" s="21">
        <f t="shared" si="78"/>
        <v>1</v>
      </c>
      <c r="L320" s="21">
        <f t="shared" si="79"/>
        <v>1</v>
      </c>
      <c r="M320" s="21">
        <f t="shared" si="80"/>
        <v>1</v>
      </c>
      <c r="N320" s="21">
        <f t="shared" si="81"/>
        <v>1</v>
      </c>
      <c r="O320" s="21">
        <f t="shared" si="82"/>
        <v>1</v>
      </c>
      <c r="P320" s="21">
        <f t="shared" si="83"/>
        <v>1</v>
      </c>
      <c r="Q320" s="21">
        <f t="shared" si="84"/>
        <v>1</v>
      </c>
      <c r="R320" s="21">
        <f t="shared" si="85"/>
        <v>1</v>
      </c>
      <c r="S320" s="21">
        <f t="shared" si="86"/>
        <v>1</v>
      </c>
      <c r="T320" s="21">
        <f t="shared" si="87"/>
        <v>1</v>
      </c>
      <c r="U320" s="21">
        <f t="shared" si="88"/>
        <v>1</v>
      </c>
      <c r="V320" s="21">
        <f t="shared" si="89"/>
        <v>1</v>
      </c>
    </row>
    <row r="321" spans="1:22" x14ac:dyDescent="0.25">
      <c r="A321">
        <f>Tabelle2!A337</f>
        <v>0</v>
      </c>
      <c r="B321">
        <f>Tabelle2!$N337+(B$11*Tabelle2!$O337)</f>
        <v>0</v>
      </c>
      <c r="C321">
        <f>Tabelle2!$N337+(C$11*Tabelle2!$O337)</f>
        <v>0</v>
      </c>
      <c r="D321">
        <f>Tabelle2!$N337+(D$11*Tabelle2!$O337)</f>
        <v>0</v>
      </c>
      <c r="E321" s="21">
        <f t="shared" si="72"/>
        <v>1</v>
      </c>
      <c r="F321" s="21">
        <f t="shared" si="73"/>
        <v>1</v>
      </c>
      <c r="G321" s="21">
        <f t="shared" si="74"/>
        <v>1</v>
      </c>
      <c r="H321" s="21">
        <f t="shared" si="75"/>
        <v>1</v>
      </c>
      <c r="I321" s="21">
        <f t="shared" si="76"/>
        <v>1</v>
      </c>
      <c r="J321" s="21">
        <f t="shared" si="77"/>
        <v>1</v>
      </c>
      <c r="K321" s="21">
        <f t="shared" si="78"/>
        <v>1</v>
      </c>
      <c r="L321" s="21">
        <f t="shared" si="79"/>
        <v>1</v>
      </c>
      <c r="M321" s="21">
        <f t="shared" si="80"/>
        <v>1</v>
      </c>
      <c r="N321" s="21">
        <f t="shared" si="81"/>
        <v>1</v>
      </c>
      <c r="O321" s="21">
        <f t="shared" si="82"/>
        <v>1</v>
      </c>
      <c r="P321" s="21">
        <f t="shared" si="83"/>
        <v>1</v>
      </c>
      <c r="Q321" s="21">
        <f t="shared" si="84"/>
        <v>1</v>
      </c>
      <c r="R321" s="21">
        <f t="shared" si="85"/>
        <v>1</v>
      </c>
      <c r="S321" s="21">
        <f t="shared" si="86"/>
        <v>1</v>
      </c>
      <c r="T321" s="21">
        <f t="shared" si="87"/>
        <v>1</v>
      </c>
      <c r="U321" s="21">
        <f t="shared" si="88"/>
        <v>1</v>
      </c>
      <c r="V321" s="21">
        <f t="shared" si="89"/>
        <v>1</v>
      </c>
    </row>
    <row r="322" spans="1:22" x14ac:dyDescent="0.25">
      <c r="A322">
        <f>Tabelle2!A338</f>
        <v>0</v>
      </c>
      <c r="B322">
        <f>Tabelle2!$N338+(B$11*Tabelle2!$O338)</f>
        <v>0</v>
      </c>
      <c r="C322">
        <f>Tabelle2!$N338+(C$11*Tabelle2!$O338)</f>
        <v>0</v>
      </c>
      <c r="D322">
        <f>Tabelle2!$N338+(D$11*Tabelle2!$O338)</f>
        <v>0</v>
      </c>
      <c r="E322" s="21">
        <f t="shared" si="72"/>
        <v>1</v>
      </c>
      <c r="F322" s="21">
        <f t="shared" si="73"/>
        <v>1</v>
      </c>
      <c r="G322" s="21">
        <f t="shared" si="74"/>
        <v>1</v>
      </c>
      <c r="H322" s="21">
        <f t="shared" si="75"/>
        <v>1</v>
      </c>
      <c r="I322" s="21">
        <f t="shared" si="76"/>
        <v>1</v>
      </c>
      <c r="J322" s="21">
        <f t="shared" si="77"/>
        <v>1</v>
      </c>
      <c r="K322" s="21">
        <f t="shared" si="78"/>
        <v>1</v>
      </c>
      <c r="L322" s="21">
        <f t="shared" si="79"/>
        <v>1</v>
      </c>
      <c r="M322" s="21">
        <f t="shared" si="80"/>
        <v>1</v>
      </c>
      <c r="N322" s="21">
        <f t="shared" si="81"/>
        <v>1</v>
      </c>
      <c r="O322" s="21">
        <f t="shared" si="82"/>
        <v>1</v>
      </c>
      <c r="P322" s="21">
        <f t="shared" si="83"/>
        <v>1</v>
      </c>
      <c r="Q322" s="21">
        <f t="shared" si="84"/>
        <v>1</v>
      </c>
      <c r="R322" s="21">
        <f t="shared" si="85"/>
        <v>1</v>
      </c>
      <c r="S322" s="21">
        <f t="shared" si="86"/>
        <v>1</v>
      </c>
      <c r="T322" s="21">
        <f t="shared" si="87"/>
        <v>1</v>
      </c>
      <c r="U322" s="21">
        <f t="shared" si="88"/>
        <v>1</v>
      </c>
      <c r="V322" s="21">
        <f t="shared" si="89"/>
        <v>1</v>
      </c>
    </row>
    <row r="323" spans="1:22" x14ac:dyDescent="0.25">
      <c r="A323">
        <f>Tabelle2!A339</f>
        <v>0</v>
      </c>
      <c r="B323">
        <f>Tabelle2!$N339+(B$11*Tabelle2!$O339)</f>
        <v>0</v>
      </c>
      <c r="C323">
        <f>Tabelle2!$N339+(C$11*Tabelle2!$O339)</f>
        <v>0</v>
      </c>
      <c r="D323">
        <f>Tabelle2!$N339+(D$11*Tabelle2!$O339)</f>
        <v>0</v>
      </c>
      <c r="E323" s="21">
        <f t="shared" si="72"/>
        <v>1</v>
      </c>
      <c r="F323" s="21">
        <f t="shared" si="73"/>
        <v>1</v>
      </c>
      <c r="G323" s="21">
        <f t="shared" si="74"/>
        <v>1</v>
      </c>
      <c r="H323" s="21">
        <f t="shared" si="75"/>
        <v>1</v>
      </c>
      <c r="I323" s="21">
        <f t="shared" si="76"/>
        <v>1</v>
      </c>
      <c r="J323" s="21">
        <f t="shared" si="77"/>
        <v>1</v>
      </c>
      <c r="K323" s="21">
        <f t="shared" si="78"/>
        <v>1</v>
      </c>
      <c r="L323" s="21">
        <f t="shared" si="79"/>
        <v>1</v>
      </c>
      <c r="M323" s="21">
        <f t="shared" si="80"/>
        <v>1</v>
      </c>
      <c r="N323" s="21">
        <f t="shared" si="81"/>
        <v>1</v>
      </c>
      <c r="O323" s="21">
        <f t="shared" si="82"/>
        <v>1</v>
      </c>
      <c r="P323" s="21">
        <f t="shared" si="83"/>
        <v>1</v>
      </c>
      <c r="Q323" s="21">
        <f t="shared" si="84"/>
        <v>1</v>
      </c>
      <c r="R323" s="21">
        <f t="shared" si="85"/>
        <v>1</v>
      </c>
      <c r="S323" s="21">
        <f t="shared" si="86"/>
        <v>1</v>
      </c>
      <c r="T323" s="21">
        <f t="shared" si="87"/>
        <v>1</v>
      </c>
      <c r="U323" s="21">
        <f t="shared" si="88"/>
        <v>1</v>
      </c>
      <c r="V323" s="21">
        <f t="shared" si="89"/>
        <v>1</v>
      </c>
    </row>
    <row r="324" spans="1:22" x14ac:dyDescent="0.25">
      <c r="A324">
        <f>Tabelle2!A340</f>
        <v>0</v>
      </c>
      <c r="B324">
        <f>Tabelle2!$N340+(B$11*Tabelle2!$O340)</f>
        <v>0</v>
      </c>
      <c r="C324">
        <f>Tabelle2!$N340+(C$11*Tabelle2!$O340)</f>
        <v>0</v>
      </c>
      <c r="D324">
        <f>Tabelle2!$N340+(D$11*Tabelle2!$O340)</f>
        <v>0</v>
      </c>
      <c r="E324" s="21">
        <f t="shared" si="72"/>
        <v>1</v>
      </c>
      <c r="F324" s="21">
        <f t="shared" si="73"/>
        <v>1</v>
      </c>
      <c r="G324" s="21">
        <f t="shared" si="74"/>
        <v>1</v>
      </c>
      <c r="H324" s="21">
        <f t="shared" si="75"/>
        <v>1</v>
      </c>
      <c r="I324" s="21">
        <f t="shared" si="76"/>
        <v>1</v>
      </c>
      <c r="J324" s="21">
        <f t="shared" si="77"/>
        <v>1</v>
      </c>
      <c r="K324" s="21">
        <f t="shared" si="78"/>
        <v>1</v>
      </c>
      <c r="L324" s="21">
        <f t="shared" si="79"/>
        <v>1</v>
      </c>
      <c r="M324" s="21">
        <f t="shared" si="80"/>
        <v>1</v>
      </c>
      <c r="N324" s="21">
        <f t="shared" si="81"/>
        <v>1</v>
      </c>
      <c r="O324" s="21">
        <f t="shared" si="82"/>
        <v>1</v>
      </c>
      <c r="P324" s="21">
        <f t="shared" si="83"/>
        <v>1</v>
      </c>
      <c r="Q324" s="21">
        <f t="shared" si="84"/>
        <v>1</v>
      </c>
      <c r="R324" s="21">
        <f t="shared" si="85"/>
        <v>1</v>
      </c>
      <c r="S324" s="21">
        <f t="shared" si="86"/>
        <v>1</v>
      </c>
      <c r="T324" s="21">
        <f t="shared" si="87"/>
        <v>1</v>
      </c>
      <c r="U324" s="21">
        <f t="shared" si="88"/>
        <v>1</v>
      </c>
      <c r="V324" s="21">
        <f t="shared" si="89"/>
        <v>1</v>
      </c>
    </row>
    <row r="325" spans="1:22" x14ac:dyDescent="0.25">
      <c r="A325">
        <f>Tabelle2!A341</f>
        <v>0</v>
      </c>
      <c r="B325">
        <f>Tabelle2!$N341+(B$11*Tabelle2!$O341)</f>
        <v>0</v>
      </c>
      <c r="C325">
        <f>Tabelle2!$N341+(C$11*Tabelle2!$O341)</f>
        <v>0</v>
      </c>
      <c r="D325">
        <f>Tabelle2!$N341+(D$11*Tabelle2!$O341)</f>
        <v>0</v>
      </c>
      <c r="E325" s="21">
        <f t="shared" si="72"/>
        <v>1</v>
      </c>
      <c r="F325" s="21">
        <f t="shared" si="73"/>
        <v>1</v>
      </c>
      <c r="G325" s="21">
        <f t="shared" si="74"/>
        <v>1</v>
      </c>
      <c r="H325" s="21">
        <f t="shared" si="75"/>
        <v>1</v>
      </c>
      <c r="I325" s="21">
        <f t="shared" si="76"/>
        <v>1</v>
      </c>
      <c r="J325" s="21">
        <f t="shared" si="77"/>
        <v>1</v>
      </c>
      <c r="K325" s="21">
        <f t="shared" si="78"/>
        <v>1</v>
      </c>
      <c r="L325" s="21">
        <f t="shared" si="79"/>
        <v>1</v>
      </c>
      <c r="M325" s="21">
        <f t="shared" si="80"/>
        <v>1</v>
      </c>
      <c r="N325" s="21">
        <f t="shared" si="81"/>
        <v>1</v>
      </c>
      <c r="O325" s="21">
        <f t="shared" si="82"/>
        <v>1</v>
      </c>
      <c r="P325" s="21">
        <f t="shared" si="83"/>
        <v>1</v>
      </c>
      <c r="Q325" s="21">
        <f t="shared" si="84"/>
        <v>1</v>
      </c>
      <c r="R325" s="21">
        <f t="shared" si="85"/>
        <v>1</v>
      </c>
      <c r="S325" s="21">
        <f t="shared" si="86"/>
        <v>1</v>
      </c>
      <c r="T325" s="21">
        <f t="shared" si="87"/>
        <v>1</v>
      </c>
      <c r="U325" s="21">
        <f t="shared" si="88"/>
        <v>1</v>
      </c>
      <c r="V325" s="21">
        <f t="shared" si="89"/>
        <v>1</v>
      </c>
    </row>
    <row r="326" spans="1:22" x14ac:dyDescent="0.25">
      <c r="A326">
        <f>Tabelle2!A342</f>
        <v>0</v>
      </c>
      <c r="B326">
        <f>Tabelle2!$N342+(B$11*Tabelle2!$O342)</f>
        <v>0</v>
      </c>
      <c r="C326">
        <f>Tabelle2!$N342+(C$11*Tabelle2!$O342)</f>
        <v>0</v>
      </c>
      <c r="D326">
        <f>Tabelle2!$N342+(D$11*Tabelle2!$O342)</f>
        <v>0</v>
      </c>
      <c r="E326" s="21">
        <f t="shared" si="72"/>
        <v>1</v>
      </c>
      <c r="F326" s="21">
        <f t="shared" si="73"/>
        <v>1</v>
      </c>
      <c r="G326" s="21">
        <f t="shared" si="74"/>
        <v>1</v>
      </c>
      <c r="H326" s="21">
        <f t="shared" si="75"/>
        <v>1</v>
      </c>
      <c r="I326" s="21">
        <f t="shared" si="76"/>
        <v>1</v>
      </c>
      <c r="J326" s="21">
        <f t="shared" si="77"/>
        <v>1</v>
      </c>
      <c r="K326" s="21">
        <f t="shared" si="78"/>
        <v>1</v>
      </c>
      <c r="L326" s="21">
        <f t="shared" si="79"/>
        <v>1</v>
      </c>
      <c r="M326" s="21">
        <f t="shared" si="80"/>
        <v>1</v>
      </c>
      <c r="N326" s="21">
        <f t="shared" si="81"/>
        <v>1</v>
      </c>
      <c r="O326" s="21">
        <f t="shared" si="82"/>
        <v>1</v>
      </c>
      <c r="P326" s="21">
        <f t="shared" si="83"/>
        <v>1</v>
      </c>
      <c r="Q326" s="21">
        <f t="shared" si="84"/>
        <v>1</v>
      </c>
      <c r="R326" s="21">
        <f t="shared" si="85"/>
        <v>1</v>
      </c>
      <c r="S326" s="21">
        <f t="shared" si="86"/>
        <v>1</v>
      </c>
      <c r="T326" s="21">
        <f t="shared" si="87"/>
        <v>1</v>
      </c>
      <c r="U326" s="21">
        <f t="shared" si="88"/>
        <v>1</v>
      </c>
      <c r="V326" s="21">
        <f t="shared" si="89"/>
        <v>1</v>
      </c>
    </row>
    <row r="327" spans="1:22" x14ac:dyDescent="0.25">
      <c r="A327">
        <f>Tabelle2!A343</f>
        <v>0</v>
      </c>
      <c r="B327">
        <f>Tabelle2!$N343+(B$11*Tabelle2!$O343)</f>
        <v>0</v>
      </c>
      <c r="C327">
        <f>Tabelle2!$N343+(C$11*Tabelle2!$O343)</f>
        <v>0</v>
      </c>
      <c r="D327">
        <f>Tabelle2!$N343+(D$11*Tabelle2!$O343)</f>
        <v>0</v>
      </c>
      <c r="E327" s="21">
        <f t="shared" si="72"/>
        <v>1</v>
      </c>
      <c r="F327" s="21">
        <f t="shared" si="73"/>
        <v>1</v>
      </c>
      <c r="G327" s="21">
        <f t="shared" si="74"/>
        <v>1</v>
      </c>
      <c r="H327" s="21">
        <f t="shared" si="75"/>
        <v>1</v>
      </c>
      <c r="I327" s="21">
        <f t="shared" si="76"/>
        <v>1</v>
      </c>
      <c r="J327" s="21">
        <f t="shared" si="77"/>
        <v>1</v>
      </c>
      <c r="K327" s="21">
        <f t="shared" si="78"/>
        <v>1</v>
      </c>
      <c r="L327" s="21">
        <f t="shared" si="79"/>
        <v>1</v>
      </c>
      <c r="M327" s="21">
        <f t="shared" si="80"/>
        <v>1</v>
      </c>
      <c r="N327" s="21">
        <f t="shared" si="81"/>
        <v>1</v>
      </c>
      <c r="O327" s="21">
        <f t="shared" si="82"/>
        <v>1</v>
      </c>
      <c r="P327" s="21">
        <f t="shared" si="83"/>
        <v>1</v>
      </c>
      <c r="Q327" s="21">
        <f t="shared" si="84"/>
        <v>1</v>
      </c>
      <c r="R327" s="21">
        <f t="shared" si="85"/>
        <v>1</v>
      </c>
      <c r="S327" s="21">
        <f t="shared" si="86"/>
        <v>1</v>
      </c>
      <c r="T327" s="21">
        <f t="shared" si="87"/>
        <v>1</v>
      </c>
      <c r="U327" s="21">
        <f t="shared" si="88"/>
        <v>1</v>
      </c>
      <c r="V327" s="21">
        <f t="shared" si="89"/>
        <v>1</v>
      </c>
    </row>
    <row r="328" spans="1:22" x14ac:dyDescent="0.25">
      <c r="A328">
        <f>Tabelle2!A344</f>
        <v>0</v>
      </c>
      <c r="B328">
        <f>Tabelle2!$N344+(B$11*Tabelle2!$O344)</f>
        <v>0</v>
      </c>
      <c r="C328">
        <f>Tabelle2!$N344+(C$11*Tabelle2!$O344)</f>
        <v>0</v>
      </c>
      <c r="D328">
        <f>Tabelle2!$N344+(D$11*Tabelle2!$O344)</f>
        <v>0</v>
      </c>
      <c r="E328" s="21">
        <f t="shared" si="72"/>
        <v>1</v>
      </c>
      <c r="F328" s="21">
        <f t="shared" si="73"/>
        <v>1</v>
      </c>
      <c r="G328" s="21">
        <f t="shared" si="74"/>
        <v>1</v>
      </c>
      <c r="H328" s="21">
        <f t="shared" si="75"/>
        <v>1</v>
      </c>
      <c r="I328" s="21">
        <f t="shared" si="76"/>
        <v>1</v>
      </c>
      <c r="J328" s="21">
        <f t="shared" si="77"/>
        <v>1</v>
      </c>
      <c r="K328" s="21">
        <f t="shared" si="78"/>
        <v>1</v>
      </c>
      <c r="L328" s="21">
        <f t="shared" si="79"/>
        <v>1</v>
      </c>
      <c r="M328" s="21">
        <f t="shared" si="80"/>
        <v>1</v>
      </c>
      <c r="N328" s="21">
        <f t="shared" si="81"/>
        <v>1</v>
      </c>
      <c r="O328" s="21">
        <f t="shared" si="82"/>
        <v>1</v>
      </c>
      <c r="P328" s="21">
        <f t="shared" si="83"/>
        <v>1</v>
      </c>
      <c r="Q328" s="21">
        <f t="shared" si="84"/>
        <v>1</v>
      </c>
      <c r="R328" s="21">
        <f t="shared" si="85"/>
        <v>1</v>
      </c>
      <c r="S328" s="21">
        <f t="shared" si="86"/>
        <v>1</v>
      </c>
      <c r="T328" s="21">
        <f t="shared" si="87"/>
        <v>1</v>
      </c>
      <c r="U328" s="21">
        <f t="shared" si="88"/>
        <v>1</v>
      </c>
      <c r="V328" s="21">
        <f t="shared" si="89"/>
        <v>1</v>
      </c>
    </row>
    <row r="329" spans="1:22" x14ac:dyDescent="0.25">
      <c r="A329">
        <f>Tabelle2!A345</f>
        <v>0</v>
      </c>
      <c r="B329">
        <f>Tabelle2!$N345+(B$11*Tabelle2!$O345)</f>
        <v>0</v>
      </c>
      <c r="C329">
        <f>Tabelle2!$N345+(C$11*Tabelle2!$O345)</f>
        <v>0</v>
      </c>
      <c r="D329">
        <f>Tabelle2!$N345+(D$11*Tabelle2!$O345)</f>
        <v>0</v>
      </c>
      <c r="E329" s="21">
        <f t="shared" si="72"/>
        <v>1</v>
      </c>
      <c r="F329" s="21">
        <f t="shared" si="73"/>
        <v>1</v>
      </c>
      <c r="G329" s="21">
        <f t="shared" si="74"/>
        <v>1</v>
      </c>
      <c r="H329" s="21">
        <f t="shared" si="75"/>
        <v>1</v>
      </c>
      <c r="I329" s="21">
        <f t="shared" si="76"/>
        <v>1</v>
      </c>
      <c r="J329" s="21">
        <f t="shared" si="77"/>
        <v>1</v>
      </c>
      <c r="K329" s="21">
        <f t="shared" si="78"/>
        <v>1</v>
      </c>
      <c r="L329" s="21">
        <f t="shared" si="79"/>
        <v>1</v>
      </c>
      <c r="M329" s="21">
        <f t="shared" si="80"/>
        <v>1</v>
      </c>
      <c r="N329" s="21">
        <f t="shared" si="81"/>
        <v>1</v>
      </c>
      <c r="O329" s="21">
        <f t="shared" si="82"/>
        <v>1</v>
      </c>
      <c r="P329" s="21">
        <f t="shared" si="83"/>
        <v>1</v>
      </c>
      <c r="Q329" s="21">
        <f t="shared" si="84"/>
        <v>1</v>
      </c>
      <c r="R329" s="21">
        <f t="shared" si="85"/>
        <v>1</v>
      </c>
      <c r="S329" s="21">
        <f t="shared" si="86"/>
        <v>1</v>
      </c>
      <c r="T329" s="21">
        <f t="shared" si="87"/>
        <v>1</v>
      </c>
      <c r="U329" s="21">
        <f t="shared" si="88"/>
        <v>1</v>
      </c>
      <c r="V329" s="21">
        <f t="shared" si="89"/>
        <v>1</v>
      </c>
    </row>
    <row r="330" spans="1:22" x14ac:dyDescent="0.25">
      <c r="A330">
        <f>Tabelle2!A346</f>
        <v>0</v>
      </c>
      <c r="B330">
        <f>Tabelle2!$N346+(B$11*Tabelle2!$O346)</f>
        <v>0</v>
      </c>
      <c r="C330">
        <f>Tabelle2!$N346+(C$11*Tabelle2!$O346)</f>
        <v>0</v>
      </c>
      <c r="D330">
        <f>Tabelle2!$N346+(D$11*Tabelle2!$O346)</f>
        <v>0</v>
      </c>
      <c r="E330" s="21">
        <f t="shared" si="72"/>
        <v>1</v>
      </c>
      <c r="F330" s="21">
        <f t="shared" si="73"/>
        <v>1</v>
      </c>
      <c r="G330" s="21">
        <f t="shared" si="74"/>
        <v>1</v>
      </c>
      <c r="H330" s="21">
        <f t="shared" si="75"/>
        <v>1</v>
      </c>
      <c r="I330" s="21">
        <f t="shared" si="76"/>
        <v>1</v>
      </c>
      <c r="J330" s="21">
        <f t="shared" si="77"/>
        <v>1</v>
      </c>
      <c r="K330" s="21">
        <f t="shared" si="78"/>
        <v>1</v>
      </c>
      <c r="L330" s="21">
        <f t="shared" si="79"/>
        <v>1</v>
      </c>
      <c r="M330" s="21">
        <f t="shared" si="80"/>
        <v>1</v>
      </c>
      <c r="N330" s="21">
        <f t="shared" si="81"/>
        <v>1</v>
      </c>
      <c r="O330" s="21">
        <f t="shared" si="82"/>
        <v>1</v>
      </c>
      <c r="P330" s="21">
        <f t="shared" si="83"/>
        <v>1</v>
      </c>
      <c r="Q330" s="21">
        <f t="shared" si="84"/>
        <v>1</v>
      </c>
      <c r="R330" s="21">
        <f t="shared" si="85"/>
        <v>1</v>
      </c>
      <c r="S330" s="21">
        <f t="shared" si="86"/>
        <v>1</v>
      </c>
      <c r="T330" s="21">
        <f t="shared" si="87"/>
        <v>1</v>
      </c>
      <c r="U330" s="21">
        <f t="shared" si="88"/>
        <v>1</v>
      </c>
      <c r="V330" s="21">
        <f t="shared" si="89"/>
        <v>1</v>
      </c>
    </row>
    <row r="331" spans="1:22" x14ac:dyDescent="0.25">
      <c r="A331">
        <f>Tabelle2!A347</f>
        <v>0</v>
      </c>
      <c r="B331">
        <f>Tabelle2!$N347+(B$11*Tabelle2!$O347)</f>
        <v>0</v>
      </c>
      <c r="C331">
        <f>Tabelle2!$N347+(C$11*Tabelle2!$O347)</f>
        <v>0</v>
      </c>
      <c r="D331">
        <f>Tabelle2!$N347+(D$11*Tabelle2!$O347)</f>
        <v>0</v>
      </c>
      <c r="E331" s="21">
        <f t="shared" si="72"/>
        <v>1</v>
      </c>
      <c r="F331" s="21">
        <f t="shared" si="73"/>
        <v>1</v>
      </c>
      <c r="G331" s="21">
        <f t="shared" si="74"/>
        <v>1</v>
      </c>
      <c r="H331" s="21">
        <f t="shared" si="75"/>
        <v>1</v>
      </c>
      <c r="I331" s="21">
        <f t="shared" si="76"/>
        <v>1</v>
      </c>
      <c r="J331" s="21">
        <f t="shared" si="77"/>
        <v>1</v>
      </c>
      <c r="K331" s="21">
        <f t="shared" si="78"/>
        <v>1</v>
      </c>
      <c r="L331" s="21">
        <f t="shared" si="79"/>
        <v>1</v>
      </c>
      <c r="M331" s="21">
        <f t="shared" si="80"/>
        <v>1</v>
      </c>
      <c r="N331" s="21">
        <f t="shared" si="81"/>
        <v>1</v>
      </c>
      <c r="O331" s="21">
        <f t="shared" si="82"/>
        <v>1</v>
      </c>
      <c r="P331" s="21">
        <f t="shared" si="83"/>
        <v>1</v>
      </c>
      <c r="Q331" s="21">
        <f t="shared" si="84"/>
        <v>1</v>
      </c>
      <c r="R331" s="21">
        <f t="shared" si="85"/>
        <v>1</v>
      </c>
      <c r="S331" s="21">
        <f t="shared" si="86"/>
        <v>1</v>
      </c>
      <c r="T331" s="21">
        <f t="shared" si="87"/>
        <v>1</v>
      </c>
      <c r="U331" s="21">
        <f t="shared" si="88"/>
        <v>1</v>
      </c>
      <c r="V331" s="21">
        <f t="shared" si="89"/>
        <v>1</v>
      </c>
    </row>
    <row r="332" spans="1:22" x14ac:dyDescent="0.25">
      <c r="A332">
        <f>Tabelle2!A348</f>
        <v>0</v>
      </c>
      <c r="B332">
        <f>Tabelle2!$N348+(B$11*Tabelle2!$O348)</f>
        <v>0</v>
      </c>
      <c r="C332">
        <f>Tabelle2!$N348+(C$11*Tabelle2!$O348)</f>
        <v>0</v>
      </c>
      <c r="D332">
        <f>Tabelle2!$N348+(D$11*Tabelle2!$O348)</f>
        <v>0</v>
      </c>
      <c r="E332" s="21">
        <f t="shared" si="72"/>
        <v>1</v>
      </c>
      <c r="F332" s="21">
        <f t="shared" si="73"/>
        <v>1</v>
      </c>
      <c r="G332" s="21">
        <f t="shared" si="74"/>
        <v>1</v>
      </c>
      <c r="H332" s="21">
        <f t="shared" si="75"/>
        <v>1</v>
      </c>
      <c r="I332" s="21">
        <f t="shared" si="76"/>
        <v>1</v>
      </c>
      <c r="J332" s="21">
        <f t="shared" si="77"/>
        <v>1</v>
      </c>
      <c r="K332" s="21">
        <f t="shared" si="78"/>
        <v>1</v>
      </c>
      <c r="L332" s="21">
        <f t="shared" si="79"/>
        <v>1</v>
      </c>
      <c r="M332" s="21">
        <f t="shared" si="80"/>
        <v>1</v>
      </c>
      <c r="N332" s="21">
        <f t="shared" si="81"/>
        <v>1</v>
      </c>
      <c r="O332" s="21">
        <f t="shared" si="82"/>
        <v>1</v>
      </c>
      <c r="P332" s="21">
        <f t="shared" si="83"/>
        <v>1</v>
      </c>
      <c r="Q332" s="21">
        <f t="shared" si="84"/>
        <v>1</v>
      </c>
      <c r="R332" s="21">
        <f t="shared" si="85"/>
        <v>1</v>
      </c>
      <c r="S332" s="21">
        <f t="shared" si="86"/>
        <v>1</v>
      </c>
      <c r="T332" s="21">
        <f t="shared" si="87"/>
        <v>1</v>
      </c>
      <c r="U332" s="21">
        <f t="shared" si="88"/>
        <v>1</v>
      </c>
      <c r="V332" s="21">
        <f t="shared" si="89"/>
        <v>1</v>
      </c>
    </row>
    <row r="333" spans="1:22" x14ac:dyDescent="0.25">
      <c r="A333">
        <f>Tabelle2!A349</f>
        <v>0</v>
      </c>
      <c r="B333">
        <f>Tabelle2!$N349+(B$11*Tabelle2!$O349)</f>
        <v>0</v>
      </c>
      <c r="C333">
        <f>Tabelle2!$N349+(C$11*Tabelle2!$O349)</f>
        <v>0</v>
      </c>
      <c r="D333">
        <f>Tabelle2!$N349+(D$11*Tabelle2!$O349)</f>
        <v>0</v>
      </c>
      <c r="E333" s="21">
        <f t="shared" ref="E333:E396" si="90">POWER($C$2,$B333/$B$2)</f>
        <v>1</v>
      </c>
      <c r="F333" s="21">
        <f t="shared" ref="F333:F396" si="91">POWER($C$2,$C333/$B$2)</f>
        <v>1</v>
      </c>
      <c r="G333" s="21">
        <f t="shared" ref="G333:G396" si="92">POWER($C$2,$D333/$B$2)</f>
        <v>1</v>
      </c>
      <c r="H333" s="21">
        <f t="shared" ref="H333:H396" si="93">POWER($C$3,$B333/$B$3)</f>
        <v>1</v>
      </c>
      <c r="I333" s="21">
        <f t="shared" ref="I333:I396" si="94">POWER($C$3,$C333/$B$3)</f>
        <v>1</v>
      </c>
      <c r="J333" s="21">
        <f t="shared" ref="J333:J396" si="95">POWER($C$3,$D333/$B$3)</f>
        <v>1</v>
      </c>
      <c r="K333" s="21">
        <f t="shared" ref="K333:K396" si="96">POWER($C$4,$B333/$B$4)</f>
        <v>1</v>
      </c>
      <c r="L333" s="21">
        <f t="shared" ref="L333:L396" si="97">POWER($C$4,$C333/$B$4)</f>
        <v>1</v>
      </c>
      <c r="M333" s="21">
        <f t="shared" ref="M333:M396" si="98">POWER($C$4,$D333/$B$4)</f>
        <v>1</v>
      </c>
      <c r="N333" s="21">
        <f t="shared" ref="N333:N396" si="99">POWER($C$5,$B333/$B$5)</f>
        <v>1</v>
      </c>
      <c r="O333" s="21">
        <f t="shared" ref="O333:O396" si="100">POWER($C$5,$C333/$B$5)</f>
        <v>1</v>
      </c>
      <c r="P333" s="21">
        <f t="shared" ref="P333:P396" si="101">POWER($C$5,$D333/$B$5)</f>
        <v>1</v>
      </c>
      <c r="Q333" s="21">
        <f t="shared" ref="Q333:Q396" si="102">POWER($C$6,$B333/$B$6)</f>
        <v>1</v>
      </c>
      <c r="R333" s="21">
        <f t="shared" ref="R333:R396" si="103">POWER($C$6,$C333/$B$6)</f>
        <v>1</v>
      </c>
      <c r="S333" s="21">
        <f t="shared" ref="S333:S396" si="104">POWER($C$6,$D333/$B$6)</f>
        <v>1</v>
      </c>
      <c r="T333" s="21">
        <f t="shared" ref="T333:T396" si="105">POWER($C$7,$B333/$B$7)</f>
        <v>1</v>
      </c>
      <c r="U333" s="21">
        <f t="shared" ref="U333:U396" si="106">POWER($C$7,$C333/$B$7)</f>
        <v>1</v>
      </c>
      <c r="V333" s="21">
        <f t="shared" ref="V333:V396" si="107">POWER($C$7,$D333/$B$7)</f>
        <v>1</v>
      </c>
    </row>
    <row r="334" spans="1:22" x14ac:dyDescent="0.25">
      <c r="A334">
        <f>Tabelle2!A350</f>
        <v>0</v>
      </c>
      <c r="B334">
        <f>Tabelle2!$N350+(B$11*Tabelle2!$O350)</f>
        <v>0</v>
      </c>
      <c r="C334">
        <f>Tabelle2!$N350+(C$11*Tabelle2!$O350)</f>
        <v>0</v>
      </c>
      <c r="D334">
        <f>Tabelle2!$N350+(D$11*Tabelle2!$O350)</f>
        <v>0</v>
      </c>
      <c r="E334" s="21">
        <f t="shared" si="90"/>
        <v>1</v>
      </c>
      <c r="F334" s="21">
        <f t="shared" si="91"/>
        <v>1</v>
      </c>
      <c r="G334" s="21">
        <f t="shared" si="92"/>
        <v>1</v>
      </c>
      <c r="H334" s="21">
        <f t="shared" si="93"/>
        <v>1</v>
      </c>
      <c r="I334" s="21">
        <f t="shared" si="94"/>
        <v>1</v>
      </c>
      <c r="J334" s="21">
        <f t="shared" si="95"/>
        <v>1</v>
      </c>
      <c r="K334" s="21">
        <f t="shared" si="96"/>
        <v>1</v>
      </c>
      <c r="L334" s="21">
        <f t="shared" si="97"/>
        <v>1</v>
      </c>
      <c r="M334" s="21">
        <f t="shared" si="98"/>
        <v>1</v>
      </c>
      <c r="N334" s="21">
        <f t="shared" si="99"/>
        <v>1</v>
      </c>
      <c r="O334" s="21">
        <f t="shared" si="100"/>
        <v>1</v>
      </c>
      <c r="P334" s="21">
        <f t="shared" si="101"/>
        <v>1</v>
      </c>
      <c r="Q334" s="21">
        <f t="shared" si="102"/>
        <v>1</v>
      </c>
      <c r="R334" s="21">
        <f t="shared" si="103"/>
        <v>1</v>
      </c>
      <c r="S334" s="21">
        <f t="shared" si="104"/>
        <v>1</v>
      </c>
      <c r="T334" s="21">
        <f t="shared" si="105"/>
        <v>1</v>
      </c>
      <c r="U334" s="21">
        <f t="shared" si="106"/>
        <v>1</v>
      </c>
      <c r="V334" s="21">
        <f t="shared" si="107"/>
        <v>1</v>
      </c>
    </row>
    <row r="335" spans="1:22" x14ac:dyDescent="0.25">
      <c r="A335">
        <f>Tabelle2!A351</f>
        <v>0</v>
      </c>
      <c r="B335">
        <f>Tabelle2!$N351+(B$11*Tabelle2!$O351)</f>
        <v>0</v>
      </c>
      <c r="C335">
        <f>Tabelle2!$N351+(C$11*Tabelle2!$O351)</f>
        <v>0</v>
      </c>
      <c r="D335">
        <f>Tabelle2!$N351+(D$11*Tabelle2!$O351)</f>
        <v>0</v>
      </c>
      <c r="E335" s="21">
        <f t="shared" si="90"/>
        <v>1</v>
      </c>
      <c r="F335" s="21">
        <f t="shared" si="91"/>
        <v>1</v>
      </c>
      <c r="G335" s="21">
        <f t="shared" si="92"/>
        <v>1</v>
      </c>
      <c r="H335" s="21">
        <f t="shared" si="93"/>
        <v>1</v>
      </c>
      <c r="I335" s="21">
        <f t="shared" si="94"/>
        <v>1</v>
      </c>
      <c r="J335" s="21">
        <f t="shared" si="95"/>
        <v>1</v>
      </c>
      <c r="K335" s="21">
        <f t="shared" si="96"/>
        <v>1</v>
      </c>
      <c r="L335" s="21">
        <f t="shared" si="97"/>
        <v>1</v>
      </c>
      <c r="M335" s="21">
        <f t="shared" si="98"/>
        <v>1</v>
      </c>
      <c r="N335" s="21">
        <f t="shared" si="99"/>
        <v>1</v>
      </c>
      <c r="O335" s="21">
        <f t="shared" si="100"/>
        <v>1</v>
      </c>
      <c r="P335" s="21">
        <f t="shared" si="101"/>
        <v>1</v>
      </c>
      <c r="Q335" s="21">
        <f t="shared" si="102"/>
        <v>1</v>
      </c>
      <c r="R335" s="21">
        <f t="shared" si="103"/>
        <v>1</v>
      </c>
      <c r="S335" s="21">
        <f t="shared" si="104"/>
        <v>1</v>
      </c>
      <c r="T335" s="21">
        <f t="shared" si="105"/>
        <v>1</v>
      </c>
      <c r="U335" s="21">
        <f t="shared" si="106"/>
        <v>1</v>
      </c>
      <c r="V335" s="21">
        <f t="shared" si="107"/>
        <v>1</v>
      </c>
    </row>
    <row r="336" spans="1:22" x14ac:dyDescent="0.25">
      <c r="A336">
        <f>Tabelle2!A352</f>
        <v>0</v>
      </c>
      <c r="B336">
        <f>Tabelle2!$N352+(B$11*Tabelle2!$O352)</f>
        <v>0</v>
      </c>
      <c r="C336">
        <f>Tabelle2!$N352+(C$11*Tabelle2!$O352)</f>
        <v>0</v>
      </c>
      <c r="D336">
        <f>Tabelle2!$N352+(D$11*Tabelle2!$O352)</f>
        <v>0</v>
      </c>
      <c r="E336" s="21">
        <f t="shared" si="90"/>
        <v>1</v>
      </c>
      <c r="F336" s="21">
        <f t="shared" si="91"/>
        <v>1</v>
      </c>
      <c r="G336" s="21">
        <f t="shared" si="92"/>
        <v>1</v>
      </c>
      <c r="H336" s="21">
        <f t="shared" si="93"/>
        <v>1</v>
      </c>
      <c r="I336" s="21">
        <f t="shared" si="94"/>
        <v>1</v>
      </c>
      <c r="J336" s="21">
        <f t="shared" si="95"/>
        <v>1</v>
      </c>
      <c r="K336" s="21">
        <f t="shared" si="96"/>
        <v>1</v>
      </c>
      <c r="L336" s="21">
        <f t="shared" si="97"/>
        <v>1</v>
      </c>
      <c r="M336" s="21">
        <f t="shared" si="98"/>
        <v>1</v>
      </c>
      <c r="N336" s="21">
        <f t="shared" si="99"/>
        <v>1</v>
      </c>
      <c r="O336" s="21">
        <f t="shared" si="100"/>
        <v>1</v>
      </c>
      <c r="P336" s="21">
        <f t="shared" si="101"/>
        <v>1</v>
      </c>
      <c r="Q336" s="21">
        <f t="shared" si="102"/>
        <v>1</v>
      </c>
      <c r="R336" s="21">
        <f t="shared" si="103"/>
        <v>1</v>
      </c>
      <c r="S336" s="21">
        <f t="shared" si="104"/>
        <v>1</v>
      </c>
      <c r="T336" s="21">
        <f t="shared" si="105"/>
        <v>1</v>
      </c>
      <c r="U336" s="21">
        <f t="shared" si="106"/>
        <v>1</v>
      </c>
      <c r="V336" s="21">
        <f t="shared" si="107"/>
        <v>1</v>
      </c>
    </row>
    <row r="337" spans="1:22" x14ac:dyDescent="0.25">
      <c r="A337">
        <f>Tabelle2!A353</f>
        <v>0</v>
      </c>
      <c r="B337">
        <f>Tabelle2!$N353+(B$11*Tabelle2!$O353)</f>
        <v>0</v>
      </c>
      <c r="C337">
        <f>Tabelle2!$N353+(C$11*Tabelle2!$O353)</f>
        <v>0</v>
      </c>
      <c r="D337">
        <f>Tabelle2!$N353+(D$11*Tabelle2!$O353)</f>
        <v>0</v>
      </c>
      <c r="E337" s="21">
        <f t="shared" si="90"/>
        <v>1</v>
      </c>
      <c r="F337" s="21">
        <f t="shared" si="91"/>
        <v>1</v>
      </c>
      <c r="G337" s="21">
        <f t="shared" si="92"/>
        <v>1</v>
      </c>
      <c r="H337" s="21">
        <f t="shared" si="93"/>
        <v>1</v>
      </c>
      <c r="I337" s="21">
        <f t="shared" si="94"/>
        <v>1</v>
      </c>
      <c r="J337" s="21">
        <f t="shared" si="95"/>
        <v>1</v>
      </c>
      <c r="K337" s="21">
        <f t="shared" si="96"/>
        <v>1</v>
      </c>
      <c r="L337" s="21">
        <f t="shared" si="97"/>
        <v>1</v>
      </c>
      <c r="M337" s="21">
        <f t="shared" si="98"/>
        <v>1</v>
      </c>
      <c r="N337" s="21">
        <f t="shared" si="99"/>
        <v>1</v>
      </c>
      <c r="O337" s="21">
        <f t="shared" si="100"/>
        <v>1</v>
      </c>
      <c r="P337" s="21">
        <f t="shared" si="101"/>
        <v>1</v>
      </c>
      <c r="Q337" s="21">
        <f t="shared" si="102"/>
        <v>1</v>
      </c>
      <c r="R337" s="21">
        <f t="shared" si="103"/>
        <v>1</v>
      </c>
      <c r="S337" s="21">
        <f t="shared" si="104"/>
        <v>1</v>
      </c>
      <c r="T337" s="21">
        <f t="shared" si="105"/>
        <v>1</v>
      </c>
      <c r="U337" s="21">
        <f t="shared" si="106"/>
        <v>1</v>
      </c>
      <c r="V337" s="21">
        <f t="shared" si="107"/>
        <v>1</v>
      </c>
    </row>
    <row r="338" spans="1:22" x14ac:dyDescent="0.25">
      <c r="A338">
        <f>Tabelle2!A354</f>
        <v>0</v>
      </c>
      <c r="B338">
        <f>Tabelle2!$N354+(B$11*Tabelle2!$O354)</f>
        <v>0</v>
      </c>
      <c r="C338">
        <f>Tabelle2!$N354+(C$11*Tabelle2!$O354)</f>
        <v>0</v>
      </c>
      <c r="D338">
        <f>Tabelle2!$N354+(D$11*Tabelle2!$O354)</f>
        <v>0</v>
      </c>
      <c r="E338" s="21">
        <f t="shared" si="90"/>
        <v>1</v>
      </c>
      <c r="F338" s="21">
        <f t="shared" si="91"/>
        <v>1</v>
      </c>
      <c r="G338" s="21">
        <f t="shared" si="92"/>
        <v>1</v>
      </c>
      <c r="H338" s="21">
        <f t="shared" si="93"/>
        <v>1</v>
      </c>
      <c r="I338" s="21">
        <f t="shared" si="94"/>
        <v>1</v>
      </c>
      <c r="J338" s="21">
        <f t="shared" si="95"/>
        <v>1</v>
      </c>
      <c r="K338" s="21">
        <f t="shared" si="96"/>
        <v>1</v>
      </c>
      <c r="L338" s="21">
        <f t="shared" si="97"/>
        <v>1</v>
      </c>
      <c r="M338" s="21">
        <f t="shared" si="98"/>
        <v>1</v>
      </c>
      <c r="N338" s="21">
        <f t="shared" si="99"/>
        <v>1</v>
      </c>
      <c r="O338" s="21">
        <f t="shared" si="100"/>
        <v>1</v>
      </c>
      <c r="P338" s="21">
        <f t="shared" si="101"/>
        <v>1</v>
      </c>
      <c r="Q338" s="21">
        <f t="shared" si="102"/>
        <v>1</v>
      </c>
      <c r="R338" s="21">
        <f t="shared" si="103"/>
        <v>1</v>
      </c>
      <c r="S338" s="21">
        <f t="shared" si="104"/>
        <v>1</v>
      </c>
      <c r="T338" s="21">
        <f t="shared" si="105"/>
        <v>1</v>
      </c>
      <c r="U338" s="21">
        <f t="shared" si="106"/>
        <v>1</v>
      </c>
      <c r="V338" s="21">
        <f t="shared" si="107"/>
        <v>1</v>
      </c>
    </row>
    <row r="339" spans="1:22" x14ac:dyDescent="0.25">
      <c r="A339">
        <f>Tabelle2!A355</f>
        <v>0</v>
      </c>
      <c r="B339">
        <f>Tabelle2!$N355+(B$11*Tabelle2!$O355)</f>
        <v>0</v>
      </c>
      <c r="C339">
        <f>Tabelle2!$N355+(C$11*Tabelle2!$O355)</f>
        <v>0</v>
      </c>
      <c r="D339">
        <f>Tabelle2!$N355+(D$11*Tabelle2!$O355)</f>
        <v>0</v>
      </c>
      <c r="E339" s="21">
        <f t="shared" si="90"/>
        <v>1</v>
      </c>
      <c r="F339" s="21">
        <f t="shared" si="91"/>
        <v>1</v>
      </c>
      <c r="G339" s="21">
        <f t="shared" si="92"/>
        <v>1</v>
      </c>
      <c r="H339" s="21">
        <f t="shared" si="93"/>
        <v>1</v>
      </c>
      <c r="I339" s="21">
        <f t="shared" si="94"/>
        <v>1</v>
      </c>
      <c r="J339" s="21">
        <f t="shared" si="95"/>
        <v>1</v>
      </c>
      <c r="K339" s="21">
        <f t="shared" si="96"/>
        <v>1</v>
      </c>
      <c r="L339" s="21">
        <f t="shared" si="97"/>
        <v>1</v>
      </c>
      <c r="M339" s="21">
        <f t="shared" si="98"/>
        <v>1</v>
      </c>
      <c r="N339" s="21">
        <f t="shared" si="99"/>
        <v>1</v>
      </c>
      <c r="O339" s="21">
        <f t="shared" si="100"/>
        <v>1</v>
      </c>
      <c r="P339" s="21">
        <f t="shared" si="101"/>
        <v>1</v>
      </c>
      <c r="Q339" s="21">
        <f t="shared" si="102"/>
        <v>1</v>
      </c>
      <c r="R339" s="21">
        <f t="shared" si="103"/>
        <v>1</v>
      </c>
      <c r="S339" s="21">
        <f t="shared" si="104"/>
        <v>1</v>
      </c>
      <c r="T339" s="21">
        <f t="shared" si="105"/>
        <v>1</v>
      </c>
      <c r="U339" s="21">
        <f t="shared" si="106"/>
        <v>1</v>
      </c>
      <c r="V339" s="21">
        <f t="shared" si="107"/>
        <v>1</v>
      </c>
    </row>
    <row r="340" spans="1:22" x14ac:dyDescent="0.25">
      <c r="A340">
        <f>Tabelle2!A356</f>
        <v>0</v>
      </c>
      <c r="B340">
        <f>Tabelle2!$N356+(B$11*Tabelle2!$O356)</f>
        <v>0</v>
      </c>
      <c r="C340">
        <f>Tabelle2!$N356+(C$11*Tabelle2!$O356)</f>
        <v>0</v>
      </c>
      <c r="D340">
        <f>Tabelle2!$N356+(D$11*Tabelle2!$O356)</f>
        <v>0</v>
      </c>
      <c r="E340" s="21">
        <f t="shared" si="90"/>
        <v>1</v>
      </c>
      <c r="F340" s="21">
        <f t="shared" si="91"/>
        <v>1</v>
      </c>
      <c r="G340" s="21">
        <f t="shared" si="92"/>
        <v>1</v>
      </c>
      <c r="H340" s="21">
        <f t="shared" si="93"/>
        <v>1</v>
      </c>
      <c r="I340" s="21">
        <f t="shared" si="94"/>
        <v>1</v>
      </c>
      <c r="J340" s="21">
        <f t="shared" si="95"/>
        <v>1</v>
      </c>
      <c r="K340" s="21">
        <f t="shared" si="96"/>
        <v>1</v>
      </c>
      <c r="L340" s="21">
        <f t="shared" si="97"/>
        <v>1</v>
      </c>
      <c r="M340" s="21">
        <f t="shared" si="98"/>
        <v>1</v>
      </c>
      <c r="N340" s="21">
        <f t="shared" si="99"/>
        <v>1</v>
      </c>
      <c r="O340" s="21">
        <f t="shared" si="100"/>
        <v>1</v>
      </c>
      <c r="P340" s="21">
        <f t="shared" si="101"/>
        <v>1</v>
      </c>
      <c r="Q340" s="21">
        <f t="shared" si="102"/>
        <v>1</v>
      </c>
      <c r="R340" s="21">
        <f t="shared" si="103"/>
        <v>1</v>
      </c>
      <c r="S340" s="21">
        <f t="shared" si="104"/>
        <v>1</v>
      </c>
      <c r="T340" s="21">
        <f t="shared" si="105"/>
        <v>1</v>
      </c>
      <c r="U340" s="21">
        <f t="shared" si="106"/>
        <v>1</v>
      </c>
      <c r="V340" s="21">
        <f t="shared" si="107"/>
        <v>1</v>
      </c>
    </row>
    <row r="341" spans="1:22" x14ac:dyDescent="0.25">
      <c r="A341">
        <f>Tabelle2!A357</f>
        <v>0</v>
      </c>
      <c r="B341">
        <f>Tabelle2!$N357+(B$11*Tabelle2!$O357)</f>
        <v>0</v>
      </c>
      <c r="C341">
        <f>Tabelle2!$N357+(C$11*Tabelle2!$O357)</f>
        <v>0</v>
      </c>
      <c r="D341">
        <f>Tabelle2!$N357+(D$11*Tabelle2!$O357)</f>
        <v>0</v>
      </c>
      <c r="E341" s="21">
        <f t="shared" si="90"/>
        <v>1</v>
      </c>
      <c r="F341" s="21">
        <f t="shared" si="91"/>
        <v>1</v>
      </c>
      <c r="G341" s="21">
        <f t="shared" si="92"/>
        <v>1</v>
      </c>
      <c r="H341" s="21">
        <f t="shared" si="93"/>
        <v>1</v>
      </c>
      <c r="I341" s="21">
        <f t="shared" si="94"/>
        <v>1</v>
      </c>
      <c r="J341" s="21">
        <f t="shared" si="95"/>
        <v>1</v>
      </c>
      <c r="K341" s="21">
        <f t="shared" si="96"/>
        <v>1</v>
      </c>
      <c r="L341" s="21">
        <f t="shared" si="97"/>
        <v>1</v>
      </c>
      <c r="M341" s="21">
        <f t="shared" si="98"/>
        <v>1</v>
      </c>
      <c r="N341" s="21">
        <f t="shared" si="99"/>
        <v>1</v>
      </c>
      <c r="O341" s="21">
        <f t="shared" si="100"/>
        <v>1</v>
      </c>
      <c r="P341" s="21">
        <f t="shared" si="101"/>
        <v>1</v>
      </c>
      <c r="Q341" s="21">
        <f t="shared" si="102"/>
        <v>1</v>
      </c>
      <c r="R341" s="21">
        <f t="shared" si="103"/>
        <v>1</v>
      </c>
      <c r="S341" s="21">
        <f t="shared" si="104"/>
        <v>1</v>
      </c>
      <c r="T341" s="21">
        <f t="shared" si="105"/>
        <v>1</v>
      </c>
      <c r="U341" s="21">
        <f t="shared" si="106"/>
        <v>1</v>
      </c>
      <c r="V341" s="21">
        <f t="shared" si="107"/>
        <v>1</v>
      </c>
    </row>
    <row r="342" spans="1:22" x14ac:dyDescent="0.25">
      <c r="A342">
        <f>Tabelle2!A358</f>
        <v>0</v>
      </c>
      <c r="B342">
        <f>Tabelle2!$N358+(B$11*Tabelle2!$O358)</f>
        <v>0</v>
      </c>
      <c r="C342">
        <f>Tabelle2!$N358+(C$11*Tabelle2!$O358)</f>
        <v>0</v>
      </c>
      <c r="D342">
        <f>Tabelle2!$N358+(D$11*Tabelle2!$O358)</f>
        <v>0</v>
      </c>
      <c r="E342" s="21">
        <f t="shared" si="90"/>
        <v>1</v>
      </c>
      <c r="F342" s="21">
        <f t="shared" si="91"/>
        <v>1</v>
      </c>
      <c r="G342" s="21">
        <f t="shared" si="92"/>
        <v>1</v>
      </c>
      <c r="H342" s="21">
        <f t="shared" si="93"/>
        <v>1</v>
      </c>
      <c r="I342" s="21">
        <f t="shared" si="94"/>
        <v>1</v>
      </c>
      <c r="J342" s="21">
        <f t="shared" si="95"/>
        <v>1</v>
      </c>
      <c r="K342" s="21">
        <f t="shared" si="96"/>
        <v>1</v>
      </c>
      <c r="L342" s="21">
        <f t="shared" si="97"/>
        <v>1</v>
      </c>
      <c r="M342" s="21">
        <f t="shared" si="98"/>
        <v>1</v>
      </c>
      <c r="N342" s="21">
        <f t="shared" si="99"/>
        <v>1</v>
      </c>
      <c r="O342" s="21">
        <f t="shared" si="100"/>
        <v>1</v>
      </c>
      <c r="P342" s="21">
        <f t="shared" si="101"/>
        <v>1</v>
      </c>
      <c r="Q342" s="21">
        <f t="shared" si="102"/>
        <v>1</v>
      </c>
      <c r="R342" s="21">
        <f t="shared" si="103"/>
        <v>1</v>
      </c>
      <c r="S342" s="21">
        <f t="shared" si="104"/>
        <v>1</v>
      </c>
      <c r="T342" s="21">
        <f t="shared" si="105"/>
        <v>1</v>
      </c>
      <c r="U342" s="21">
        <f t="shared" si="106"/>
        <v>1</v>
      </c>
      <c r="V342" s="21">
        <f t="shared" si="107"/>
        <v>1</v>
      </c>
    </row>
    <row r="343" spans="1:22" x14ac:dyDescent="0.25">
      <c r="A343">
        <f>Tabelle2!A359</f>
        <v>0</v>
      </c>
      <c r="B343">
        <f>Tabelle2!$N359+(B$11*Tabelle2!$O359)</f>
        <v>0</v>
      </c>
      <c r="C343">
        <f>Tabelle2!$N359+(C$11*Tabelle2!$O359)</f>
        <v>0</v>
      </c>
      <c r="D343">
        <f>Tabelle2!$N359+(D$11*Tabelle2!$O359)</f>
        <v>0</v>
      </c>
      <c r="E343" s="21">
        <f t="shared" si="90"/>
        <v>1</v>
      </c>
      <c r="F343" s="21">
        <f t="shared" si="91"/>
        <v>1</v>
      </c>
      <c r="G343" s="21">
        <f t="shared" si="92"/>
        <v>1</v>
      </c>
      <c r="H343" s="21">
        <f t="shared" si="93"/>
        <v>1</v>
      </c>
      <c r="I343" s="21">
        <f t="shared" si="94"/>
        <v>1</v>
      </c>
      <c r="J343" s="21">
        <f t="shared" si="95"/>
        <v>1</v>
      </c>
      <c r="K343" s="21">
        <f t="shared" si="96"/>
        <v>1</v>
      </c>
      <c r="L343" s="21">
        <f t="shared" si="97"/>
        <v>1</v>
      </c>
      <c r="M343" s="21">
        <f t="shared" si="98"/>
        <v>1</v>
      </c>
      <c r="N343" s="21">
        <f t="shared" si="99"/>
        <v>1</v>
      </c>
      <c r="O343" s="21">
        <f t="shared" si="100"/>
        <v>1</v>
      </c>
      <c r="P343" s="21">
        <f t="shared" si="101"/>
        <v>1</v>
      </c>
      <c r="Q343" s="21">
        <f t="shared" si="102"/>
        <v>1</v>
      </c>
      <c r="R343" s="21">
        <f t="shared" si="103"/>
        <v>1</v>
      </c>
      <c r="S343" s="21">
        <f t="shared" si="104"/>
        <v>1</v>
      </c>
      <c r="T343" s="21">
        <f t="shared" si="105"/>
        <v>1</v>
      </c>
      <c r="U343" s="21">
        <f t="shared" si="106"/>
        <v>1</v>
      </c>
      <c r="V343" s="21">
        <f t="shared" si="107"/>
        <v>1</v>
      </c>
    </row>
    <row r="344" spans="1:22" x14ac:dyDescent="0.25">
      <c r="A344">
        <f>Tabelle2!A360</f>
        <v>0</v>
      </c>
      <c r="B344">
        <f>Tabelle2!$N360+(B$11*Tabelle2!$O360)</f>
        <v>0</v>
      </c>
      <c r="C344">
        <f>Tabelle2!$N360+(C$11*Tabelle2!$O360)</f>
        <v>0</v>
      </c>
      <c r="D344">
        <f>Tabelle2!$N360+(D$11*Tabelle2!$O360)</f>
        <v>0</v>
      </c>
      <c r="E344" s="21">
        <f t="shared" si="90"/>
        <v>1</v>
      </c>
      <c r="F344" s="21">
        <f t="shared" si="91"/>
        <v>1</v>
      </c>
      <c r="G344" s="21">
        <f t="shared" si="92"/>
        <v>1</v>
      </c>
      <c r="H344" s="21">
        <f t="shared" si="93"/>
        <v>1</v>
      </c>
      <c r="I344" s="21">
        <f t="shared" si="94"/>
        <v>1</v>
      </c>
      <c r="J344" s="21">
        <f t="shared" si="95"/>
        <v>1</v>
      </c>
      <c r="K344" s="21">
        <f t="shared" si="96"/>
        <v>1</v>
      </c>
      <c r="L344" s="21">
        <f t="shared" si="97"/>
        <v>1</v>
      </c>
      <c r="M344" s="21">
        <f t="shared" si="98"/>
        <v>1</v>
      </c>
      <c r="N344" s="21">
        <f t="shared" si="99"/>
        <v>1</v>
      </c>
      <c r="O344" s="21">
        <f t="shared" si="100"/>
        <v>1</v>
      </c>
      <c r="P344" s="21">
        <f t="shared" si="101"/>
        <v>1</v>
      </c>
      <c r="Q344" s="21">
        <f t="shared" si="102"/>
        <v>1</v>
      </c>
      <c r="R344" s="21">
        <f t="shared" si="103"/>
        <v>1</v>
      </c>
      <c r="S344" s="21">
        <f t="shared" si="104"/>
        <v>1</v>
      </c>
      <c r="T344" s="21">
        <f t="shared" si="105"/>
        <v>1</v>
      </c>
      <c r="U344" s="21">
        <f t="shared" si="106"/>
        <v>1</v>
      </c>
      <c r="V344" s="21">
        <f t="shared" si="107"/>
        <v>1</v>
      </c>
    </row>
    <row r="345" spans="1:22" x14ac:dyDescent="0.25">
      <c r="A345">
        <f>Tabelle2!A361</f>
        <v>0</v>
      </c>
      <c r="B345">
        <f>Tabelle2!$N361+(B$11*Tabelle2!$O361)</f>
        <v>0</v>
      </c>
      <c r="C345">
        <f>Tabelle2!$N361+(C$11*Tabelle2!$O361)</f>
        <v>0</v>
      </c>
      <c r="D345">
        <f>Tabelle2!$N361+(D$11*Tabelle2!$O361)</f>
        <v>0</v>
      </c>
      <c r="E345" s="21">
        <f t="shared" si="90"/>
        <v>1</v>
      </c>
      <c r="F345" s="21">
        <f t="shared" si="91"/>
        <v>1</v>
      </c>
      <c r="G345" s="21">
        <f t="shared" si="92"/>
        <v>1</v>
      </c>
      <c r="H345" s="21">
        <f t="shared" si="93"/>
        <v>1</v>
      </c>
      <c r="I345" s="21">
        <f t="shared" si="94"/>
        <v>1</v>
      </c>
      <c r="J345" s="21">
        <f t="shared" si="95"/>
        <v>1</v>
      </c>
      <c r="K345" s="21">
        <f t="shared" si="96"/>
        <v>1</v>
      </c>
      <c r="L345" s="21">
        <f t="shared" si="97"/>
        <v>1</v>
      </c>
      <c r="M345" s="21">
        <f t="shared" si="98"/>
        <v>1</v>
      </c>
      <c r="N345" s="21">
        <f t="shared" si="99"/>
        <v>1</v>
      </c>
      <c r="O345" s="21">
        <f t="shared" si="100"/>
        <v>1</v>
      </c>
      <c r="P345" s="21">
        <f t="shared" si="101"/>
        <v>1</v>
      </c>
      <c r="Q345" s="21">
        <f t="shared" si="102"/>
        <v>1</v>
      </c>
      <c r="R345" s="21">
        <f t="shared" si="103"/>
        <v>1</v>
      </c>
      <c r="S345" s="21">
        <f t="shared" si="104"/>
        <v>1</v>
      </c>
      <c r="T345" s="21">
        <f t="shared" si="105"/>
        <v>1</v>
      </c>
      <c r="U345" s="21">
        <f t="shared" si="106"/>
        <v>1</v>
      </c>
      <c r="V345" s="21">
        <f t="shared" si="107"/>
        <v>1</v>
      </c>
    </row>
    <row r="346" spans="1:22" x14ac:dyDescent="0.25">
      <c r="A346">
        <f>Tabelle2!A362</f>
        <v>0</v>
      </c>
      <c r="B346">
        <f>Tabelle2!$N362+(B$11*Tabelle2!$O362)</f>
        <v>0</v>
      </c>
      <c r="C346">
        <f>Tabelle2!$N362+(C$11*Tabelle2!$O362)</f>
        <v>0</v>
      </c>
      <c r="D346">
        <f>Tabelle2!$N362+(D$11*Tabelle2!$O362)</f>
        <v>0</v>
      </c>
      <c r="E346" s="21">
        <f t="shared" si="90"/>
        <v>1</v>
      </c>
      <c r="F346" s="21">
        <f t="shared" si="91"/>
        <v>1</v>
      </c>
      <c r="G346" s="21">
        <f t="shared" si="92"/>
        <v>1</v>
      </c>
      <c r="H346" s="21">
        <f t="shared" si="93"/>
        <v>1</v>
      </c>
      <c r="I346" s="21">
        <f t="shared" si="94"/>
        <v>1</v>
      </c>
      <c r="J346" s="21">
        <f t="shared" si="95"/>
        <v>1</v>
      </c>
      <c r="K346" s="21">
        <f t="shared" si="96"/>
        <v>1</v>
      </c>
      <c r="L346" s="21">
        <f t="shared" si="97"/>
        <v>1</v>
      </c>
      <c r="M346" s="21">
        <f t="shared" si="98"/>
        <v>1</v>
      </c>
      <c r="N346" s="21">
        <f t="shared" si="99"/>
        <v>1</v>
      </c>
      <c r="O346" s="21">
        <f t="shared" si="100"/>
        <v>1</v>
      </c>
      <c r="P346" s="21">
        <f t="shared" si="101"/>
        <v>1</v>
      </c>
      <c r="Q346" s="21">
        <f t="shared" si="102"/>
        <v>1</v>
      </c>
      <c r="R346" s="21">
        <f t="shared" si="103"/>
        <v>1</v>
      </c>
      <c r="S346" s="21">
        <f t="shared" si="104"/>
        <v>1</v>
      </c>
      <c r="T346" s="21">
        <f t="shared" si="105"/>
        <v>1</v>
      </c>
      <c r="U346" s="21">
        <f t="shared" si="106"/>
        <v>1</v>
      </c>
      <c r="V346" s="21">
        <f t="shared" si="107"/>
        <v>1</v>
      </c>
    </row>
    <row r="347" spans="1:22" x14ac:dyDescent="0.25">
      <c r="A347">
        <f>Tabelle2!A363</f>
        <v>0</v>
      </c>
      <c r="B347">
        <f>Tabelle2!$N363+(B$11*Tabelle2!$O363)</f>
        <v>0</v>
      </c>
      <c r="C347">
        <f>Tabelle2!$N363+(C$11*Tabelle2!$O363)</f>
        <v>0</v>
      </c>
      <c r="D347">
        <f>Tabelle2!$N363+(D$11*Tabelle2!$O363)</f>
        <v>0</v>
      </c>
      <c r="E347" s="21">
        <f t="shared" si="90"/>
        <v>1</v>
      </c>
      <c r="F347" s="21">
        <f t="shared" si="91"/>
        <v>1</v>
      </c>
      <c r="G347" s="21">
        <f t="shared" si="92"/>
        <v>1</v>
      </c>
      <c r="H347" s="21">
        <f t="shared" si="93"/>
        <v>1</v>
      </c>
      <c r="I347" s="21">
        <f t="shared" si="94"/>
        <v>1</v>
      </c>
      <c r="J347" s="21">
        <f t="shared" si="95"/>
        <v>1</v>
      </c>
      <c r="K347" s="21">
        <f t="shared" si="96"/>
        <v>1</v>
      </c>
      <c r="L347" s="21">
        <f t="shared" si="97"/>
        <v>1</v>
      </c>
      <c r="M347" s="21">
        <f t="shared" si="98"/>
        <v>1</v>
      </c>
      <c r="N347" s="21">
        <f t="shared" si="99"/>
        <v>1</v>
      </c>
      <c r="O347" s="21">
        <f t="shared" si="100"/>
        <v>1</v>
      </c>
      <c r="P347" s="21">
        <f t="shared" si="101"/>
        <v>1</v>
      </c>
      <c r="Q347" s="21">
        <f t="shared" si="102"/>
        <v>1</v>
      </c>
      <c r="R347" s="21">
        <f t="shared" si="103"/>
        <v>1</v>
      </c>
      <c r="S347" s="21">
        <f t="shared" si="104"/>
        <v>1</v>
      </c>
      <c r="T347" s="21">
        <f t="shared" si="105"/>
        <v>1</v>
      </c>
      <c r="U347" s="21">
        <f t="shared" si="106"/>
        <v>1</v>
      </c>
      <c r="V347" s="21">
        <f t="shared" si="107"/>
        <v>1</v>
      </c>
    </row>
    <row r="348" spans="1:22" x14ac:dyDescent="0.25">
      <c r="A348">
        <f>Tabelle2!A364</f>
        <v>0</v>
      </c>
      <c r="B348">
        <f>Tabelle2!$N364+(B$11*Tabelle2!$O364)</f>
        <v>0</v>
      </c>
      <c r="C348">
        <f>Tabelle2!$N364+(C$11*Tabelle2!$O364)</f>
        <v>0</v>
      </c>
      <c r="D348">
        <f>Tabelle2!$N364+(D$11*Tabelle2!$O364)</f>
        <v>0</v>
      </c>
      <c r="E348" s="21">
        <f t="shared" si="90"/>
        <v>1</v>
      </c>
      <c r="F348" s="21">
        <f t="shared" si="91"/>
        <v>1</v>
      </c>
      <c r="G348" s="21">
        <f t="shared" si="92"/>
        <v>1</v>
      </c>
      <c r="H348" s="21">
        <f t="shared" si="93"/>
        <v>1</v>
      </c>
      <c r="I348" s="21">
        <f t="shared" si="94"/>
        <v>1</v>
      </c>
      <c r="J348" s="21">
        <f t="shared" si="95"/>
        <v>1</v>
      </c>
      <c r="K348" s="21">
        <f t="shared" si="96"/>
        <v>1</v>
      </c>
      <c r="L348" s="21">
        <f t="shared" si="97"/>
        <v>1</v>
      </c>
      <c r="M348" s="21">
        <f t="shared" si="98"/>
        <v>1</v>
      </c>
      <c r="N348" s="21">
        <f t="shared" si="99"/>
        <v>1</v>
      </c>
      <c r="O348" s="21">
        <f t="shared" si="100"/>
        <v>1</v>
      </c>
      <c r="P348" s="21">
        <f t="shared" si="101"/>
        <v>1</v>
      </c>
      <c r="Q348" s="21">
        <f t="shared" si="102"/>
        <v>1</v>
      </c>
      <c r="R348" s="21">
        <f t="shared" si="103"/>
        <v>1</v>
      </c>
      <c r="S348" s="21">
        <f t="shared" si="104"/>
        <v>1</v>
      </c>
      <c r="T348" s="21">
        <f t="shared" si="105"/>
        <v>1</v>
      </c>
      <c r="U348" s="21">
        <f t="shared" si="106"/>
        <v>1</v>
      </c>
      <c r="V348" s="21">
        <f t="shared" si="107"/>
        <v>1</v>
      </c>
    </row>
    <row r="349" spans="1:22" x14ac:dyDescent="0.25">
      <c r="A349">
        <f>Tabelle2!A365</f>
        <v>0</v>
      </c>
      <c r="B349">
        <f>Tabelle2!$N365+(B$11*Tabelle2!$O365)</f>
        <v>0</v>
      </c>
      <c r="C349">
        <f>Tabelle2!$N365+(C$11*Tabelle2!$O365)</f>
        <v>0</v>
      </c>
      <c r="D349">
        <f>Tabelle2!$N365+(D$11*Tabelle2!$O365)</f>
        <v>0</v>
      </c>
      <c r="E349" s="21">
        <f t="shared" si="90"/>
        <v>1</v>
      </c>
      <c r="F349" s="21">
        <f t="shared" si="91"/>
        <v>1</v>
      </c>
      <c r="G349" s="21">
        <f t="shared" si="92"/>
        <v>1</v>
      </c>
      <c r="H349" s="21">
        <f t="shared" si="93"/>
        <v>1</v>
      </c>
      <c r="I349" s="21">
        <f t="shared" si="94"/>
        <v>1</v>
      </c>
      <c r="J349" s="21">
        <f t="shared" si="95"/>
        <v>1</v>
      </c>
      <c r="K349" s="21">
        <f t="shared" si="96"/>
        <v>1</v>
      </c>
      <c r="L349" s="21">
        <f t="shared" si="97"/>
        <v>1</v>
      </c>
      <c r="M349" s="21">
        <f t="shared" si="98"/>
        <v>1</v>
      </c>
      <c r="N349" s="21">
        <f t="shared" si="99"/>
        <v>1</v>
      </c>
      <c r="O349" s="21">
        <f t="shared" si="100"/>
        <v>1</v>
      </c>
      <c r="P349" s="21">
        <f t="shared" si="101"/>
        <v>1</v>
      </c>
      <c r="Q349" s="21">
        <f t="shared" si="102"/>
        <v>1</v>
      </c>
      <c r="R349" s="21">
        <f t="shared" si="103"/>
        <v>1</v>
      </c>
      <c r="S349" s="21">
        <f t="shared" si="104"/>
        <v>1</v>
      </c>
      <c r="T349" s="21">
        <f t="shared" si="105"/>
        <v>1</v>
      </c>
      <c r="U349" s="21">
        <f t="shared" si="106"/>
        <v>1</v>
      </c>
      <c r="V349" s="21">
        <f t="shared" si="107"/>
        <v>1</v>
      </c>
    </row>
    <row r="350" spans="1:22" x14ac:dyDescent="0.25">
      <c r="A350">
        <f>Tabelle2!A366</f>
        <v>0</v>
      </c>
      <c r="B350">
        <f>Tabelle2!$N366+(B$11*Tabelle2!$O366)</f>
        <v>0</v>
      </c>
      <c r="C350">
        <f>Tabelle2!$N366+(C$11*Tabelle2!$O366)</f>
        <v>0</v>
      </c>
      <c r="D350">
        <f>Tabelle2!$N366+(D$11*Tabelle2!$O366)</f>
        <v>0</v>
      </c>
      <c r="E350" s="21">
        <f t="shared" si="90"/>
        <v>1</v>
      </c>
      <c r="F350" s="21">
        <f t="shared" si="91"/>
        <v>1</v>
      </c>
      <c r="G350" s="21">
        <f t="shared" si="92"/>
        <v>1</v>
      </c>
      <c r="H350" s="21">
        <f t="shared" si="93"/>
        <v>1</v>
      </c>
      <c r="I350" s="21">
        <f t="shared" si="94"/>
        <v>1</v>
      </c>
      <c r="J350" s="21">
        <f t="shared" si="95"/>
        <v>1</v>
      </c>
      <c r="K350" s="21">
        <f t="shared" si="96"/>
        <v>1</v>
      </c>
      <c r="L350" s="21">
        <f t="shared" si="97"/>
        <v>1</v>
      </c>
      <c r="M350" s="21">
        <f t="shared" si="98"/>
        <v>1</v>
      </c>
      <c r="N350" s="21">
        <f t="shared" si="99"/>
        <v>1</v>
      </c>
      <c r="O350" s="21">
        <f t="shared" si="100"/>
        <v>1</v>
      </c>
      <c r="P350" s="21">
        <f t="shared" si="101"/>
        <v>1</v>
      </c>
      <c r="Q350" s="21">
        <f t="shared" si="102"/>
        <v>1</v>
      </c>
      <c r="R350" s="21">
        <f t="shared" si="103"/>
        <v>1</v>
      </c>
      <c r="S350" s="21">
        <f t="shared" si="104"/>
        <v>1</v>
      </c>
      <c r="T350" s="21">
        <f t="shared" si="105"/>
        <v>1</v>
      </c>
      <c r="U350" s="21">
        <f t="shared" si="106"/>
        <v>1</v>
      </c>
      <c r="V350" s="21">
        <f t="shared" si="107"/>
        <v>1</v>
      </c>
    </row>
    <row r="351" spans="1:22" x14ac:dyDescent="0.25">
      <c r="A351">
        <f>Tabelle2!A367</f>
        <v>0</v>
      </c>
      <c r="B351">
        <f>Tabelle2!$N367+(B$11*Tabelle2!$O367)</f>
        <v>0</v>
      </c>
      <c r="C351">
        <f>Tabelle2!$N367+(C$11*Tabelle2!$O367)</f>
        <v>0</v>
      </c>
      <c r="D351">
        <f>Tabelle2!$N367+(D$11*Tabelle2!$O367)</f>
        <v>0</v>
      </c>
      <c r="E351" s="21">
        <f t="shared" si="90"/>
        <v>1</v>
      </c>
      <c r="F351" s="21">
        <f t="shared" si="91"/>
        <v>1</v>
      </c>
      <c r="G351" s="21">
        <f t="shared" si="92"/>
        <v>1</v>
      </c>
      <c r="H351" s="21">
        <f t="shared" si="93"/>
        <v>1</v>
      </c>
      <c r="I351" s="21">
        <f t="shared" si="94"/>
        <v>1</v>
      </c>
      <c r="J351" s="21">
        <f t="shared" si="95"/>
        <v>1</v>
      </c>
      <c r="K351" s="21">
        <f t="shared" si="96"/>
        <v>1</v>
      </c>
      <c r="L351" s="21">
        <f t="shared" si="97"/>
        <v>1</v>
      </c>
      <c r="M351" s="21">
        <f t="shared" si="98"/>
        <v>1</v>
      </c>
      <c r="N351" s="21">
        <f t="shared" si="99"/>
        <v>1</v>
      </c>
      <c r="O351" s="21">
        <f t="shared" si="100"/>
        <v>1</v>
      </c>
      <c r="P351" s="21">
        <f t="shared" si="101"/>
        <v>1</v>
      </c>
      <c r="Q351" s="21">
        <f t="shared" si="102"/>
        <v>1</v>
      </c>
      <c r="R351" s="21">
        <f t="shared" si="103"/>
        <v>1</v>
      </c>
      <c r="S351" s="21">
        <f t="shared" si="104"/>
        <v>1</v>
      </c>
      <c r="T351" s="21">
        <f t="shared" si="105"/>
        <v>1</v>
      </c>
      <c r="U351" s="21">
        <f t="shared" si="106"/>
        <v>1</v>
      </c>
      <c r="V351" s="21">
        <f t="shared" si="107"/>
        <v>1</v>
      </c>
    </row>
    <row r="352" spans="1:22" x14ac:dyDescent="0.25">
      <c r="A352">
        <f>Tabelle2!A368</f>
        <v>0</v>
      </c>
      <c r="B352">
        <f>Tabelle2!$N368+(B$11*Tabelle2!$O368)</f>
        <v>0</v>
      </c>
      <c r="C352">
        <f>Tabelle2!$N368+(C$11*Tabelle2!$O368)</f>
        <v>0</v>
      </c>
      <c r="D352">
        <f>Tabelle2!$N368+(D$11*Tabelle2!$O368)</f>
        <v>0</v>
      </c>
      <c r="E352" s="21">
        <f t="shared" si="90"/>
        <v>1</v>
      </c>
      <c r="F352" s="21">
        <f t="shared" si="91"/>
        <v>1</v>
      </c>
      <c r="G352" s="21">
        <f t="shared" si="92"/>
        <v>1</v>
      </c>
      <c r="H352" s="21">
        <f t="shared" si="93"/>
        <v>1</v>
      </c>
      <c r="I352" s="21">
        <f t="shared" si="94"/>
        <v>1</v>
      </c>
      <c r="J352" s="21">
        <f t="shared" si="95"/>
        <v>1</v>
      </c>
      <c r="K352" s="21">
        <f t="shared" si="96"/>
        <v>1</v>
      </c>
      <c r="L352" s="21">
        <f t="shared" si="97"/>
        <v>1</v>
      </c>
      <c r="M352" s="21">
        <f t="shared" si="98"/>
        <v>1</v>
      </c>
      <c r="N352" s="21">
        <f t="shared" si="99"/>
        <v>1</v>
      </c>
      <c r="O352" s="21">
        <f t="shared" si="100"/>
        <v>1</v>
      </c>
      <c r="P352" s="21">
        <f t="shared" si="101"/>
        <v>1</v>
      </c>
      <c r="Q352" s="21">
        <f t="shared" si="102"/>
        <v>1</v>
      </c>
      <c r="R352" s="21">
        <f t="shared" si="103"/>
        <v>1</v>
      </c>
      <c r="S352" s="21">
        <f t="shared" si="104"/>
        <v>1</v>
      </c>
      <c r="T352" s="21">
        <f t="shared" si="105"/>
        <v>1</v>
      </c>
      <c r="U352" s="21">
        <f t="shared" si="106"/>
        <v>1</v>
      </c>
      <c r="V352" s="21">
        <f t="shared" si="107"/>
        <v>1</v>
      </c>
    </row>
    <row r="353" spans="1:22" x14ac:dyDescent="0.25">
      <c r="A353">
        <f>Tabelle2!A369</f>
        <v>0</v>
      </c>
      <c r="B353">
        <f>Tabelle2!$N369+(B$11*Tabelle2!$O369)</f>
        <v>0</v>
      </c>
      <c r="C353">
        <f>Tabelle2!$N369+(C$11*Tabelle2!$O369)</f>
        <v>0</v>
      </c>
      <c r="D353">
        <f>Tabelle2!$N369+(D$11*Tabelle2!$O369)</f>
        <v>0</v>
      </c>
      <c r="E353" s="21">
        <f t="shared" si="90"/>
        <v>1</v>
      </c>
      <c r="F353" s="21">
        <f t="shared" si="91"/>
        <v>1</v>
      </c>
      <c r="G353" s="21">
        <f t="shared" si="92"/>
        <v>1</v>
      </c>
      <c r="H353" s="21">
        <f t="shared" si="93"/>
        <v>1</v>
      </c>
      <c r="I353" s="21">
        <f t="shared" si="94"/>
        <v>1</v>
      </c>
      <c r="J353" s="21">
        <f t="shared" si="95"/>
        <v>1</v>
      </c>
      <c r="K353" s="21">
        <f t="shared" si="96"/>
        <v>1</v>
      </c>
      <c r="L353" s="21">
        <f t="shared" si="97"/>
        <v>1</v>
      </c>
      <c r="M353" s="21">
        <f t="shared" si="98"/>
        <v>1</v>
      </c>
      <c r="N353" s="21">
        <f t="shared" si="99"/>
        <v>1</v>
      </c>
      <c r="O353" s="21">
        <f t="shared" si="100"/>
        <v>1</v>
      </c>
      <c r="P353" s="21">
        <f t="shared" si="101"/>
        <v>1</v>
      </c>
      <c r="Q353" s="21">
        <f t="shared" si="102"/>
        <v>1</v>
      </c>
      <c r="R353" s="21">
        <f t="shared" si="103"/>
        <v>1</v>
      </c>
      <c r="S353" s="21">
        <f t="shared" si="104"/>
        <v>1</v>
      </c>
      <c r="T353" s="21">
        <f t="shared" si="105"/>
        <v>1</v>
      </c>
      <c r="U353" s="21">
        <f t="shared" si="106"/>
        <v>1</v>
      </c>
      <c r="V353" s="21">
        <f t="shared" si="107"/>
        <v>1</v>
      </c>
    </row>
    <row r="354" spans="1:22" x14ac:dyDescent="0.25">
      <c r="A354">
        <f>Tabelle2!A370</f>
        <v>0</v>
      </c>
      <c r="B354">
        <f>Tabelle2!$N370+(B$11*Tabelle2!$O370)</f>
        <v>0</v>
      </c>
      <c r="C354">
        <f>Tabelle2!$N370+(C$11*Tabelle2!$O370)</f>
        <v>0</v>
      </c>
      <c r="D354">
        <f>Tabelle2!$N370+(D$11*Tabelle2!$O370)</f>
        <v>0</v>
      </c>
      <c r="E354" s="21">
        <f t="shared" si="90"/>
        <v>1</v>
      </c>
      <c r="F354" s="21">
        <f t="shared" si="91"/>
        <v>1</v>
      </c>
      <c r="G354" s="21">
        <f t="shared" si="92"/>
        <v>1</v>
      </c>
      <c r="H354" s="21">
        <f t="shared" si="93"/>
        <v>1</v>
      </c>
      <c r="I354" s="21">
        <f t="shared" si="94"/>
        <v>1</v>
      </c>
      <c r="J354" s="21">
        <f t="shared" si="95"/>
        <v>1</v>
      </c>
      <c r="K354" s="21">
        <f t="shared" si="96"/>
        <v>1</v>
      </c>
      <c r="L354" s="21">
        <f t="shared" si="97"/>
        <v>1</v>
      </c>
      <c r="M354" s="21">
        <f t="shared" si="98"/>
        <v>1</v>
      </c>
      <c r="N354" s="21">
        <f t="shared" si="99"/>
        <v>1</v>
      </c>
      <c r="O354" s="21">
        <f t="shared" si="100"/>
        <v>1</v>
      </c>
      <c r="P354" s="21">
        <f t="shared" si="101"/>
        <v>1</v>
      </c>
      <c r="Q354" s="21">
        <f t="shared" si="102"/>
        <v>1</v>
      </c>
      <c r="R354" s="21">
        <f t="shared" si="103"/>
        <v>1</v>
      </c>
      <c r="S354" s="21">
        <f t="shared" si="104"/>
        <v>1</v>
      </c>
      <c r="T354" s="21">
        <f t="shared" si="105"/>
        <v>1</v>
      </c>
      <c r="U354" s="21">
        <f t="shared" si="106"/>
        <v>1</v>
      </c>
      <c r="V354" s="21">
        <f t="shared" si="107"/>
        <v>1</v>
      </c>
    </row>
    <row r="355" spans="1:22" x14ac:dyDescent="0.25">
      <c r="A355">
        <f>Tabelle2!A371</f>
        <v>0</v>
      </c>
      <c r="B355">
        <f>Tabelle2!$N371+(B$11*Tabelle2!$O371)</f>
        <v>0</v>
      </c>
      <c r="C355">
        <f>Tabelle2!$N371+(C$11*Tabelle2!$O371)</f>
        <v>0</v>
      </c>
      <c r="D355">
        <f>Tabelle2!$N371+(D$11*Tabelle2!$O371)</f>
        <v>0</v>
      </c>
      <c r="E355" s="21">
        <f t="shared" si="90"/>
        <v>1</v>
      </c>
      <c r="F355" s="21">
        <f t="shared" si="91"/>
        <v>1</v>
      </c>
      <c r="G355" s="21">
        <f t="shared" si="92"/>
        <v>1</v>
      </c>
      <c r="H355" s="21">
        <f t="shared" si="93"/>
        <v>1</v>
      </c>
      <c r="I355" s="21">
        <f t="shared" si="94"/>
        <v>1</v>
      </c>
      <c r="J355" s="21">
        <f t="shared" si="95"/>
        <v>1</v>
      </c>
      <c r="K355" s="21">
        <f t="shared" si="96"/>
        <v>1</v>
      </c>
      <c r="L355" s="21">
        <f t="shared" si="97"/>
        <v>1</v>
      </c>
      <c r="M355" s="21">
        <f t="shared" si="98"/>
        <v>1</v>
      </c>
      <c r="N355" s="21">
        <f t="shared" si="99"/>
        <v>1</v>
      </c>
      <c r="O355" s="21">
        <f t="shared" si="100"/>
        <v>1</v>
      </c>
      <c r="P355" s="21">
        <f t="shared" si="101"/>
        <v>1</v>
      </c>
      <c r="Q355" s="21">
        <f t="shared" si="102"/>
        <v>1</v>
      </c>
      <c r="R355" s="21">
        <f t="shared" si="103"/>
        <v>1</v>
      </c>
      <c r="S355" s="21">
        <f t="shared" si="104"/>
        <v>1</v>
      </c>
      <c r="T355" s="21">
        <f t="shared" si="105"/>
        <v>1</v>
      </c>
      <c r="U355" s="21">
        <f t="shared" si="106"/>
        <v>1</v>
      </c>
      <c r="V355" s="21">
        <f t="shared" si="107"/>
        <v>1</v>
      </c>
    </row>
    <row r="356" spans="1:22" x14ac:dyDescent="0.25">
      <c r="A356">
        <f>Tabelle2!A372</f>
        <v>0</v>
      </c>
      <c r="B356">
        <f>Tabelle2!$N372+(B$11*Tabelle2!$O372)</f>
        <v>0</v>
      </c>
      <c r="C356">
        <f>Tabelle2!$N372+(C$11*Tabelle2!$O372)</f>
        <v>0</v>
      </c>
      <c r="D356">
        <f>Tabelle2!$N372+(D$11*Tabelle2!$O372)</f>
        <v>0</v>
      </c>
      <c r="E356" s="21">
        <f t="shared" si="90"/>
        <v>1</v>
      </c>
      <c r="F356" s="21">
        <f t="shared" si="91"/>
        <v>1</v>
      </c>
      <c r="G356" s="21">
        <f t="shared" si="92"/>
        <v>1</v>
      </c>
      <c r="H356" s="21">
        <f t="shared" si="93"/>
        <v>1</v>
      </c>
      <c r="I356" s="21">
        <f t="shared" si="94"/>
        <v>1</v>
      </c>
      <c r="J356" s="21">
        <f t="shared" si="95"/>
        <v>1</v>
      </c>
      <c r="K356" s="21">
        <f t="shared" si="96"/>
        <v>1</v>
      </c>
      <c r="L356" s="21">
        <f t="shared" si="97"/>
        <v>1</v>
      </c>
      <c r="M356" s="21">
        <f t="shared" si="98"/>
        <v>1</v>
      </c>
      <c r="N356" s="21">
        <f t="shared" si="99"/>
        <v>1</v>
      </c>
      <c r="O356" s="21">
        <f t="shared" si="100"/>
        <v>1</v>
      </c>
      <c r="P356" s="21">
        <f t="shared" si="101"/>
        <v>1</v>
      </c>
      <c r="Q356" s="21">
        <f t="shared" si="102"/>
        <v>1</v>
      </c>
      <c r="R356" s="21">
        <f t="shared" si="103"/>
        <v>1</v>
      </c>
      <c r="S356" s="21">
        <f t="shared" si="104"/>
        <v>1</v>
      </c>
      <c r="T356" s="21">
        <f t="shared" si="105"/>
        <v>1</v>
      </c>
      <c r="U356" s="21">
        <f t="shared" si="106"/>
        <v>1</v>
      </c>
      <c r="V356" s="21">
        <f t="shared" si="107"/>
        <v>1</v>
      </c>
    </row>
    <row r="357" spans="1:22" x14ac:dyDescent="0.25">
      <c r="A357">
        <f>Tabelle2!A373</f>
        <v>0</v>
      </c>
      <c r="B357">
        <f>Tabelle2!$N373+(B$11*Tabelle2!$O373)</f>
        <v>0</v>
      </c>
      <c r="C357">
        <f>Tabelle2!$N373+(C$11*Tabelle2!$O373)</f>
        <v>0</v>
      </c>
      <c r="D357">
        <f>Tabelle2!$N373+(D$11*Tabelle2!$O373)</f>
        <v>0</v>
      </c>
      <c r="E357" s="21">
        <f t="shared" si="90"/>
        <v>1</v>
      </c>
      <c r="F357" s="21">
        <f t="shared" si="91"/>
        <v>1</v>
      </c>
      <c r="G357" s="21">
        <f t="shared" si="92"/>
        <v>1</v>
      </c>
      <c r="H357" s="21">
        <f t="shared" si="93"/>
        <v>1</v>
      </c>
      <c r="I357" s="21">
        <f t="shared" si="94"/>
        <v>1</v>
      </c>
      <c r="J357" s="21">
        <f t="shared" si="95"/>
        <v>1</v>
      </c>
      <c r="K357" s="21">
        <f t="shared" si="96"/>
        <v>1</v>
      </c>
      <c r="L357" s="21">
        <f t="shared" si="97"/>
        <v>1</v>
      </c>
      <c r="M357" s="21">
        <f t="shared" si="98"/>
        <v>1</v>
      </c>
      <c r="N357" s="21">
        <f t="shared" si="99"/>
        <v>1</v>
      </c>
      <c r="O357" s="21">
        <f t="shared" si="100"/>
        <v>1</v>
      </c>
      <c r="P357" s="21">
        <f t="shared" si="101"/>
        <v>1</v>
      </c>
      <c r="Q357" s="21">
        <f t="shared" si="102"/>
        <v>1</v>
      </c>
      <c r="R357" s="21">
        <f t="shared" si="103"/>
        <v>1</v>
      </c>
      <c r="S357" s="21">
        <f t="shared" si="104"/>
        <v>1</v>
      </c>
      <c r="T357" s="21">
        <f t="shared" si="105"/>
        <v>1</v>
      </c>
      <c r="U357" s="21">
        <f t="shared" si="106"/>
        <v>1</v>
      </c>
      <c r="V357" s="21">
        <f t="shared" si="107"/>
        <v>1</v>
      </c>
    </row>
    <row r="358" spans="1:22" x14ac:dyDescent="0.25">
      <c r="A358">
        <f>Tabelle2!A374</f>
        <v>0</v>
      </c>
      <c r="B358">
        <f>Tabelle2!$N374+(B$11*Tabelle2!$O374)</f>
        <v>0</v>
      </c>
      <c r="C358">
        <f>Tabelle2!$N374+(C$11*Tabelle2!$O374)</f>
        <v>0</v>
      </c>
      <c r="D358">
        <f>Tabelle2!$N374+(D$11*Tabelle2!$O374)</f>
        <v>0</v>
      </c>
      <c r="E358" s="21">
        <f t="shared" si="90"/>
        <v>1</v>
      </c>
      <c r="F358" s="21">
        <f t="shared" si="91"/>
        <v>1</v>
      </c>
      <c r="G358" s="21">
        <f t="shared" si="92"/>
        <v>1</v>
      </c>
      <c r="H358" s="21">
        <f t="shared" si="93"/>
        <v>1</v>
      </c>
      <c r="I358" s="21">
        <f t="shared" si="94"/>
        <v>1</v>
      </c>
      <c r="J358" s="21">
        <f t="shared" si="95"/>
        <v>1</v>
      </c>
      <c r="K358" s="21">
        <f t="shared" si="96"/>
        <v>1</v>
      </c>
      <c r="L358" s="21">
        <f t="shared" si="97"/>
        <v>1</v>
      </c>
      <c r="M358" s="21">
        <f t="shared" si="98"/>
        <v>1</v>
      </c>
      <c r="N358" s="21">
        <f t="shared" si="99"/>
        <v>1</v>
      </c>
      <c r="O358" s="21">
        <f t="shared" si="100"/>
        <v>1</v>
      </c>
      <c r="P358" s="21">
        <f t="shared" si="101"/>
        <v>1</v>
      </c>
      <c r="Q358" s="21">
        <f t="shared" si="102"/>
        <v>1</v>
      </c>
      <c r="R358" s="21">
        <f t="shared" si="103"/>
        <v>1</v>
      </c>
      <c r="S358" s="21">
        <f t="shared" si="104"/>
        <v>1</v>
      </c>
      <c r="T358" s="21">
        <f t="shared" si="105"/>
        <v>1</v>
      </c>
      <c r="U358" s="21">
        <f t="shared" si="106"/>
        <v>1</v>
      </c>
      <c r="V358" s="21">
        <f t="shared" si="107"/>
        <v>1</v>
      </c>
    </row>
    <row r="359" spans="1:22" x14ac:dyDescent="0.25">
      <c r="A359">
        <f>Tabelle2!A375</f>
        <v>0</v>
      </c>
      <c r="B359">
        <f>Tabelle2!$N375+(B$11*Tabelle2!$O375)</f>
        <v>0</v>
      </c>
      <c r="C359">
        <f>Tabelle2!$N375+(C$11*Tabelle2!$O375)</f>
        <v>0</v>
      </c>
      <c r="D359">
        <f>Tabelle2!$N375+(D$11*Tabelle2!$O375)</f>
        <v>0</v>
      </c>
      <c r="E359" s="21">
        <f t="shared" si="90"/>
        <v>1</v>
      </c>
      <c r="F359" s="21">
        <f t="shared" si="91"/>
        <v>1</v>
      </c>
      <c r="G359" s="21">
        <f t="shared" si="92"/>
        <v>1</v>
      </c>
      <c r="H359" s="21">
        <f t="shared" si="93"/>
        <v>1</v>
      </c>
      <c r="I359" s="21">
        <f t="shared" si="94"/>
        <v>1</v>
      </c>
      <c r="J359" s="21">
        <f t="shared" si="95"/>
        <v>1</v>
      </c>
      <c r="K359" s="21">
        <f t="shared" si="96"/>
        <v>1</v>
      </c>
      <c r="L359" s="21">
        <f t="shared" si="97"/>
        <v>1</v>
      </c>
      <c r="M359" s="21">
        <f t="shared" si="98"/>
        <v>1</v>
      </c>
      <c r="N359" s="21">
        <f t="shared" si="99"/>
        <v>1</v>
      </c>
      <c r="O359" s="21">
        <f t="shared" si="100"/>
        <v>1</v>
      </c>
      <c r="P359" s="21">
        <f t="shared" si="101"/>
        <v>1</v>
      </c>
      <c r="Q359" s="21">
        <f t="shared" si="102"/>
        <v>1</v>
      </c>
      <c r="R359" s="21">
        <f t="shared" si="103"/>
        <v>1</v>
      </c>
      <c r="S359" s="21">
        <f t="shared" si="104"/>
        <v>1</v>
      </c>
      <c r="T359" s="21">
        <f t="shared" si="105"/>
        <v>1</v>
      </c>
      <c r="U359" s="21">
        <f t="shared" si="106"/>
        <v>1</v>
      </c>
      <c r="V359" s="21">
        <f t="shared" si="107"/>
        <v>1</v>
      </c>
    </row>
    <row r="360" spans="1:22" x14ac:dyDescent="0.25">
      <c r="A360">
        <f>Tabelle2!A376</f>
        <v>0</v>
      </c>
      <c r="B360">
        <f>Tabelle2!$N376+(B$11*Tabelle2!$O376)</f>
        <v>0</v>
      </c>
      <c r="C360">
        <f>Tabelle2!$N376+(C$11*Tabelle2!$O376)</f>
        <v>0</v>
      </c>
      <c r="D360">
        <f>Tabelle2!$N376+(D$11*Tabelle2!$O376)</f>
        <v>0</v>
      </c>
      <c r="E360" s="21">
        <f t="shared" si="90"/>
        <v>1</v>
      </c>
      <c r="F360" s="21">
        <f t="shared" si="91"/>
        <v>1</v>
      </c>
      <c r="G360" s="21">
        <f t="shared" si="92"/>
        <v>1</v>
      </c>
      <c r="H360" s="21">
        <f t="shared" si="93"/>
        <v>1</v>
      </c>
      <c r="I360" s="21">
        <f t="shared" si="94"/>
        <v>1</v>
      </c>
      <c r="J360" s="21">
        <f t="shared" si="95"/>
        <v>1</v>
      </c>
      <c r="K360" s="21">
        <f t="shared" si="96"/>
        <v>1</v>
      </c>
      <c r="L360" s="21">
        <f t="shared" si="97"/>
        <v>1</v>
      </c>
      <c r="M360" s="21">
        <f t="shared" si="98"/>
        <v>1</v>
      </c>
      <c r="N360" s="21">
        <f t="shared" si="99"/>
        <v>1</v>
      </c>
      <c r="O360" s="21">
        <f t="shared" si="100"/>
        <v>1</v>
      </c>
      <c r="P360" s="21">
        <f t="shared" si="101"/>
        <v>1</v>
      </c>
      <c r="Q360" s="21">
        <f t="shared" si="102"/>
        <v>1</v>
      </c>
      <c r="R360" s="21">
        <f t="shared" si="103"/>
        <v>1</v>
      </c>
      <c r="S360" s="21">
        <f t="shared" si="104"/>
        <v>1</v>
      </c>
      <c r="T360" s="21">
        <f t="shared" si="105"/>
        <v>1</v>
      </c>
      <c r="U360" s="21">
        <f t="shared" si="106"/>
        <v>1</v>
      </c>
      <c r="V360" s="21">
        <f t="shared" si="107"/>
        <v>1</v>
      </c>
    </row>
    <row r="361" spans="1:22" x14ac:dyDescent="0.25">
      <c r="A361">
        <f>Tabelle2!A377</f>
        <v>0</v>
      </c>
      <c r="B361">
        <f>Tabelle2!$N377+(B$11*Tabelle2!$O377)</f>
        <v>0</v>
      </c>
      <c r="C361">
        <f>Tabelle2!$N377+(C$11*Tabelle2!$O377)</f>
        <v>0</v>
      </c>
      <c r="D361">
        <f>Tabelle2!$N377+(D$11*Tabelle2!$O377)</f>
        <v>0</v>
      </c>
      <c r="E361" s="21">
        <f t="shared" si="90"/>
        <v>1</v>
      </c>
      <c r="F361" s="21">
        <f t="shared" si="91"/>
        <v>1</v>
      </c>
      <c r="G361" s="21">
        <f t="shared" si="92"/>
        <v>1</v>
      </c>
      <c r="H361" s="21">
        <f t="shared" si="93"/>
        <v>1</v>
      </c>
      <c r="I361" s="21">
        <f t="shared" si="94"/>
        <v>1</v>
      </c>
      <c r="J361" s="21">
        <f t="shared" si="95"/>
        <v>1</v>
      </c>
      <c r="K361" s="21">
        <f t="shared" si="96"/>
        <v>1</v>
      </c>
      <c r="L361" s="21">
        <f t="shared" si="97"/>
        <v>1</v>
      </c>
      <c r="M361" s="21">
        <f t="shared" si="98"/>
        <v>1</v>
      </c>
      <c r="N361" s="21">
        <f t="shared" si="99"/>
        <v>1</v>
      </c>
      <c r="O361" s="21">
        <f t="shared" si="100"/>
        <v>1</v>
      </c>
      <c r="P361" s="21">
        <f t="shared" si="101"/>
        <v>1</v>
      </c>
      <c r="Q361" s="21">
        <f t="shared" si="102"/>
        <v>1</v>
      </c>
      <c r="R361" s="21">
        <f t="shared" si="103"/>
        <v>1</v>
      </c>
      <c r="S361" s="21">
        <f t="shared" si="104"/>
        <v>1</v>
      </c>
      <c r="T361" s="21">
        <f t="shared" si="105"/>
        <v>1</v>
      </c>
      <c r="U361" s="21">
        <f t="shared" si="106"/>
        <v>1</v>
      </c>
      <c r="V361" s="21">
        <f t="shared" si="107"/>
        <v>1</v>
      </c>
    </row>
    <row r="362" spans="1:22" x14ac:dyDescent="0.25">
      <c r="A362">
        <f>Tabelle2!A378</f>
        <v>0</v>
      </c>
      <c r="B362">
        <f>Tabelle2!$N378+(B$11*Tabelle2!$O378)</f>
        <v>0</v>
      </c>
      <c r="C362">
        <f>Tabelle2!$N378+(C$11*Tabelle2!$O378)</f>
        <v>0</v>
      </c>
      <c r="D362">
        <f>Tabelle2!$N378+(D$11*Tabelle2!$O378)</f>
        <v>0</v>
      </c>
      <c r="E362" s="21">
        <f t="shared" si="90"/>
        <v>1</v>
      </c>
      <c r="F362" s="21">
        <f t="shared" si="91"/>
        <v>1</v>
      </c>
      <c r="G362" s="21">
        <f t="shared" si="92"/>
        <v>1</v>
      </c>
      <c r="H362" s="21">
        <f t="shared" si="93"/>
        <v>1</v>
      </c>
      <c r="I362" s="21">
        <f t="shared" si="94"/>
        <v>1</v>
      </c>
      <c r="J362" s="21">
        <f t="shared" si="95"/>
        <v>1</v>
      </c>
      <c r="K362" s="21">
        <f t="shared" si="96"/>
        <v>1</v>
      </c>
      <c r="L362" s="21">
        <f t="shared" si="97"/>
        <v>1</v>
      </c>
      <c r="M362" s="21">
        <f t="shared" si="98"/>
        <v>1</v>
      </c>
      <c r="N362" s="21">
        <f t="shared" si="99"/>
        <v>1</v>
      </c>
      <c r="O362" s="21">
        <f t="shared" si="100"/>
        <v>1</v>
      </c>
      <c r="P362" s="21">
        <f t="shared" si="101"/>
        <v>1</v>
      </c>
      <c r="Q362" s="21">
        <f t="shared" si="102"/>
        <v>1</v>
      </c>
      <c r="R362" s="21">
        <f t="shared" si="103"/>
        <v>1</v>
      </c>
      <c r="S362" s="21">
        <f t="shared" si="104"/>
        <v>1</v>
      </c>
      <c r="T362" s="21">
        <f t="shared" si="105"/>
        <v>1</v>
      </c>
      <c r="U362" s="21">
        <f t="shared" si="106"/>
        <v>1</v>
      </c>
      <c r="V362" s="21">
        <f t="shared" si="107"/>
        <v>1</v>
      </c>
    </row>
    <row r="363" spans="1:22" x14ac:dyDescent="0.25">
      <c r="A363">
        <f>Tabelle2!A379</f>
        <v>0</v>
      </c>
      <c r="B363">
        <f>Tabelle2!$N379+(B$11*Tabelle2!$O379)</f>
        <v>0</v>
      </c>
      <c r="C363">
        <f>Tabelle2!$N379+(C$11*Tabelle2!$O379)</f>
        <v>0</v>
      </c>
      <c r="D363">
        <f>Tabelle2!$N379+(D$11*Tabelle2!$O379)</f>
        <v>0</v>
      </c>
      <c r="E363" s="21">
        <f t="shared" si="90"/>
        <v>1</v>
      </c>
      <c r="F363" s="21">
        <f t="shared" si="91"/>
        <v>1</v>
      </c>
      <c r="G363" s="21">
        <f t="shared" si="92"/>
        <v>1</v>
      </c>
      <c r="H363" s="21">
        <f t="shared" si="93"/>
        <v>1</v>
      </c>
      <c r="I363" s="21">
        <f t="shared" si="94"/>
        <v>1</v>
      </c>
      <c r="J363" s="21">
        <f t="shared" si="95"/>
        <v>1</v>
      </c>
      <c r="K363" s="21">
        <f t="shared" si="96"/>
        <v>1</v>
      </c>
      <c r="L363" s="21">
        <f t="shared" si="97"/>
        <v>1</v>
      </c>
      <c r="M363" s="21">
        <f t="shared" si="98"/>
        <v>1</v>
      </c>
      <c r="N363" s="21">
        <f t="shared" si="99"/>
        <v>1</v>
      </c>
      <c r="O363" s="21">
        <f t="shared" si="100"/>
        <v>1</v>
      </c>
      <c r="P363" s="21">
        <f t="shared" si="101"/>
        <v>1</v>
      </c>
      <c r="Q363" s="21">
        <f t="shared" si="102"/>
        <v>1</v>
      </c>
      <c r="R363" s="21">
        <f t="shared" si="103"/>
        <v>1</v>
      </c>
      <c r="S363" s="21">
        <f t="shared" si="104"/>
        <v>1</v>
      </c>
      <c r="T363" s="21">
        <f t="shared" si="105"/>
        <v>1</v>
      </c>
      <c r="U363" s="21">
        <f t="shared" si="106"/>
        <v>1</v>
      </c>
      <c r="V363" s="21">
        <f t="shared" si="107"/>
        <v>1</v>
      </c>
    </row>
    <row r="364" spans="1:22" x14ac:dyDescent="0.25">
      <c r="A364">
        <f>Tabelle2!A380</f>
        <v>0</v>
      </c>
      <c r="B364">
        <f>Tabelle2!$N380+(B$11*Tabelle2!$O380)</f>
        <v>0</v>
      </c>
      <c r="C364">
        <f>Tabelle2!$N380+(C$11*Tabelle2!$O380)</f>
        <v>0</v>
      </c>
      <c r="D364">
        <f>Tabelle2!$N380+(D$11*Tabelle2!$O380)</f>
        <v>0</v>
      </c>
      <c r="E364" s="21">
        <f t="shared" si="90"/>
        <v>1</v>
      </c>
      <c r="F364" s="21">
        <f t="shared" si="91"/>
        <v>1</v>
      </c>
      <c r="G364" s="21">
        <f t="shared" si="92"/>
        <v>1</v>
      </c>
      <c r="H364" s="21">
        <f t="shared" si="93"/>
        <v>1</v>
      </c>
      <c r="I364" s="21">
        <f t="shared" si="94"/>
        <v>1</v>
      </c>
      <c r="J364" s="21">
        <f t="shared" si="95"/>
        <v>1</v>
      </c>
      <c r="K364" s="21">
        <f t="shared" si="96"/>
        <v>1</v>
      </c>
      <c r="L364" s="21">
        <f t="shared" si="97"/>
        <v>1</v>
      </c>
      <c r="M364" s="21">
        <f t="shared" si="98"/>
        <v>1</v>
      </c>
      <c r="N364" s="21">
        <f t="shared" si="99"/>
        <v>1</v>
      </c>
      <c r="O364" s="21">
        <f t="shared" si="100"/>
        <v>1</v>
      </c>
      <c r="P364" s="21">
        <f t="shared" si="101"/>
        <v>1</v>
      </c>
      <c r="Q364" s="21">
        <f t="shared" si="102"/>
        <v>1</v>
      </c>
      <c r="R364" s="21">
        <f t="shared" si="103"/>
        <v>1</v>
      </c>
      <c r="S364" s="21">
        <f t="shared" si="104"/>
        <v>1</v>
      </c>
      <c r="T364" s="21">
        <f t="shared" si="105"/>
        <v>1</v>
      </c>
      <c r="U364" s="21">
        <f t="shared" si="106"/>
        <v>1</v>
      </c>
      <c r="V364" s="21">
        <f t="shared" si="107"/>
        <v>1</v>
      </c>
    </row>
    <row r="365" spans="1:22" x14ac:dyDescent="0.25">
      <c r="A365">
        <f>Tabelle2!A381</f>
        <v>0</v>
      </c>
      <c r="B365">
        <f>Tabelle2!$N381+(B$11*Tabelle2!$O381)</f>
        <v>0</v>
      </c>
      <c r="C365">
        <f>Tabelle2!$N381+(C$11*Tabelle2!$O381)</f>
        <v>0</v>
      </c>
      <c r="D365">
        <f>Tabelle2!$N381+(D$11*Tabelle2!$O381)</f>
        <v>0</v>
      </c>
      <c r="E365" s="21">
        <f t="shared" si="90"/>
        <v>1</v>
      </c>
      <c r="F365" s="21">
        <f t="shared" si="91"/>
        <v>1</v>
      </c>
      <c r="G365" s="21">
        <f t="shared" si="92"/>
        <v>1</v>
      </c>
      <c r="H365" s="21">
        <f t="shared" si="93"/>
        <v>1</v>
      </c>
      <c r="I365" s="21">
        <f t="shared" si="94"/>
        <v>1</v>
      </c>
      <c r="J365" s="21">
        <f t="shared" si="95"/>
        <v>1</v>
      </c>
      <c r="K365" s="21">
        <f t="shared" si="96"/>
        <v>1</v>
      </c>
      <c r="L365" s="21">
        <f t="shared" si="97"/>
        <v>1</v>
      </c>
      <c r="M365" s="21">
        <f t="shared" si="98"/>
        <v>1</v>
      </c>
      <c r="N365" s="21">
        <f t="shared" si="99"/>
        <v>1</v>
      </c>
      <c r="O365" s="21">
        <f t="shared" si="100"/>
        <v>1</v>
      </c>
      <c r="P365" s="21">
        <f t="shared" si="101"/>
        <v>1</v>
      </c>
      <c r="Q365" s="21">
        <f t="shared" si="102"/>
        <v>1</v>
      </c>
      <c r="R365" s="21">
        <f t="shared" si="103"/>
        <v>1</v>
      </c>
      <c r="S365" s="21">
        <f t="shared" si="104"/>
        <v>1</v>
      </c>
      <c r="T365" s="21">
        <f t="shared" si="105"/>
        <v>1</v>
      </c>
      <c r="U365" s="21">
        <f t="shared" si="106"/>
        <v>1</v>
      </c>
      <c r="V365" s="21">
        <f t="shared" si="107"/>
        <v>1</v>
      </c>
    </row>
    <row r="366" spans="1:22" x14ac:dyDescent="0.25">
      <c r="A366">
        <f>Tabelle2!A382</f>
        <v>0</v>
      </c>
      <c r="B366">
        <f>Tabelle2!$N382+(B$11*Tabelle2!$O382)</f>
        <v>0</v>
      </c>
      <c r="C366">
        <f>Tabelle2!$N382+(C$11*Tabelle2!$O382)</f>
        <v>0</v>
      </c>
      <c r="D366">
        <f>Tabelle2!$N382+(D$11*Tabelle2!$O382)</f>
        <v>0</v>
      </c>
      <c r="E366" s="21">
        <f t="shared" si="90"/>
        <v>1</v>
      </c>
      <c r="F366" s="21">
        <f t="shared" si="91"/>
        <v>1</v>
      </c>
      <c r="G366" s="21">
        <f t="shared" si="92"/>
        <v>1</v>
      </c>
      <c r="H366" s="21">
        <f t="shared" si="93"/>
        <v>1</v>
      </c>
      <c r="I366" s="21">
        <f t="shared" si="94"/>
        <v>1</v>
      </c>
      <c r="J366" s="21">
        <f t="shared" si="95"/>
        <v>1</v>
      </c>
      <c r="K366" s="21">
        <f t="shared" si="96"/>
        <v>1</v>
      </c>
      <c r="L366" s="21">
        <f t="shared" si="97"/>
        <v>1</v>
      </c>
      <c r="M366" s="21">
        <f t="shared" si="98"/>
        <v>1</v>
      </c>
      <c r="N366" s="21">
        <f t="shared" si="99"/>
        <v>1</v>
      </c>
      <c r="O366" s="21">
        <f t="shared" si="100"/>
        <v>1</v>
      </c>
      <c r="P366" s="21">
        <f t="shared" si="101"/>
        <v>1</v>
      </c>
      <c r="Q366" s="21">
        <f t="shared" si="102"/>
        <v>1</v>
      </c>
      <c r="R366" s="21">
        <f t="shared" si="103"/>
        <v>1</v>
      </c>
      <c r="S366" s="21">
        <f t="shared" si="104"/>
        <v>1</v>
      </c>
      <c r="T366" s="21">
        <f t="shared" si="105"/>
        <v>1</v>
      </c>
      <c r="U366" s="21">
        <f t="shared" si="106"/>
        <v>1</v>
      </c>
      <c r="V366" s="21">
        <f t="shared" si="107"/>
        <v>1</v>
      </c>
    </row>
    <row r="367" spans="1:22" x14ac:dyDescent="0.25">
      <c r="A367">
        <f>Tabelle2!A383</f>
        <v>0</v>
      </c>
      <c r="B367">
        <f>Tabelle2!$N383+(B$11*Tabelle2!$O383)</f>
        <v>0</v>
      </c>
      <c r="C367">
        <f>Tabelle2!$N383+(C$11*Tabelle2!$O383)</f>
        <v>0</v>
      </c>
      <c r="D367">
        <f>Tabelle2!$N383+(D$11*Tabelle2!$O383)</f>
        <v>0</v>
      </c>
      <c r="E367" s="21">
        <f t="shared" si="90"/>
        <v>1</v>
      </c>
      <c r="F367" s="21">
        <f t="shared" si="91"/>
        <v>1</v>
      </c>
      <c r="G367" s="21">
        <f t="shared" si="92"/>
        <v>1</v>
      </c>
      <c r="H367" s="21">
        <f t="shared" si="93"/>
        <v>1</v>
      </c>
      <c r="I367" s="21">
        <f t="shared" si="94"/>
        <v>1</v>
      </c>
      <c r="J367" s="21">
        <f t="shared" si="95"/>
        <v>1</v>
      </c>
      <c r="K367" s="21">
        <f t="shared" si="96"/>
        <v>1</v>
      </c>
      <c r="L367" s="21">
        <f t="shared" si="97"/>
        <v>1</v>
      </c>
      <c r="M367" s="21">
        <f t="shared" si="98"/>
        <v>1</v>
      </c>
      <c r="N367" s="21">
        <f t="shared" si="99"/>
        <v>1</v>
      </c>
      <c r="O367" s="21">
        <f t="shared" si="100"/>
        <v>1</v>
      </c>
      <c r="P367" s="21">
        <f t="shared" si="101"/>
        <v>1</v>
      </c>
      <c r="Q367" s="21">
        <f t="shared" si="102"/>
        <v>1</v>
      </c>
      <c r="R367" s="21">
        <f t="shared" si="103"/>
        <v>1</v>
      </c>
      <c r="S367" s="21">
        <f t="shared" si="104"/>
        <v>1</v>
      </c>
      <c r="T367" s="21">
        <f t="shared" si="105"/>
        <v>1</v>
      </c>
      <c r="U367" s="21">
        <f t="shared" si="106"/>
        <v>1</v>
      </c>
      <c r="V367" s="21">
        <f t="shared" si="107"/>
        <v>1</v>
      </c>
    </row>
    <row r="368" spans="1:22" x14ac:dyDescent="0.25">
      <c r="A368">
        <f>Tabelle2!A384</f>
        <v>0</v>
      </c>
      <c r="B368">
        <f>Tabelle2!$N384+(B$11*Tabelle2!$O384)</f>
        <v>0</v>
      </c>
      <c r="C368">
        <f>Tabelle2!$N384+(C$11*Tabelle2!$O384)</f>
        <v>0</v>
      </c>
      <c r="D368">
        <f>Tabelle2!$N384+(D$11*Tabelle2!$O384)</f>
        <v>0</v>
      </c>
      <c r="E368" s="21">
        <f t="shared" si="90"/>
        <v>1</v>
      </c>
      <c r="F368" s="21">
        <f t="shared" si="91"/>
        <v>1</v>
      </c>
      <c r="G368" s="21">
        <f t="shared" si="92"/>
        <v>1</v>
      </c>
      <c r="H368" s="21">
        <f t="shared" si="93"/>
        <v>1</v>
      </c>
      <c r="I368" s="21">
        <f t="shared" si="94"/>
        <v>1</v>
      </c>
      <c r="J368" s="21">
        <f t="shared" si="95"/>
        <v>1</v>
      </c>
      <c r="K368" s="21">
        <f t="shared" si="96"/>
        <v>1</v>
      </c>
      <c r="L368" s="21">
        <f t="shared" si="97"/>
        <v>1</v>
      </c>
      <c r="M368" s="21">
        <f t="shared" si="98"/>
        <v>1</v>
      </c>
      <c r="N368" s="21">
        <f t="shared" si="99"/>
        <v>1</v>
      </c>
      <c r="O368" s="21">
        <f t="shared" si="100"/>
        <v>1</v>
      </c>
      <c r="P368" s="21">
        <f t="shared" si="101"/>
        <v>1</v>
      </c>
      <c r="Q368" s="21">
        <f t="shared" si="102"/>
        <v>1</v>
      </c>
      <c r="R368" s="21">
        <f t="shared" si="103"/>
        <v>1</v>
      </c>
      <c r="S368" s="21">
        <f t="shared" si="104"/>
        <v>1</v>
      </c>
      <c r="T368" s="21">
        <f t="shared" si="105"/>
        <v>1</v>
      </c>
      <c r="U368" s="21">
        <f t="shared" si="106"/>
        <v>1</v>
      </c>
      <c r="V368" s="21">
        <f t="shared" si="107"/>
        <v>1</v>
      </c>
    </row>
    <row r="369" spans="1:22" x14ac:dyDescent="0.25">
      <c r="A369">
        <f>Tabelle2!A385</f>
        <v>0</v>
      </c>
      <c r="B369">
        <f>Tabelle2!$N385+(B$11*Tabelle2!$O385)</f>
        <v>0</v>
      </c>
      <c r="C369">
        <f>Tabelle2!$N385+(C$11*Tabelle2!$O385)</f>
        <v>0</v>
      </c>
      <c r="D369">
        <f>Tabelle2!$N385+(D$11*Tabelle2!$O385)</f>
        <v>0</v>
      </c>
      <c r="E369" s="21">
        <f t="shared" si="90"/>
        <v>1</v>
      </c>
      <c r="F369" s="21">
        <f t="shared" si="91"/>
        <v>1</v>
      </c>
      <c r="G369" s="21">
        <f t="shared" si="92"/>
        <v>1</v>
      </c>
      <c r="H369" s="21">
        <f t="shared" si="93"/>
        <v>1</v>
      </c>
      <c r="I369" s="21">
        <f t="shared" si="94"/>
        <v>1</v>
      </c>
      <c r="J369" s="21">
        <f t="shared" si="95"/>
        <v>1</v>
      </c>
      <c r="K369" s="21">
        <f t="shared" si="96"/>
        <v>1</v>
      </c>
      <c r="L369" s="21">
        <f t="shared" si="97"/>
        <v>1</v>
      </c>
      <c r="M369" s="21">
        <f t="shared" si="98"/>
        <v>1</v>
      </c>
      <c r="N369" s="21">
        <f t="shared" si="99"/>
        <v>1</v>
      </c>
      <c r="O369" s="21">
        <f t="shared" si="100"/>
        <v>1</v>
      </c>
      <c r="P369" s="21">
        <f t="shared" si="101"/>
        <v>1</v>
      </c>
      <c r="Q369" s="21">
        <f t="shared" si="102"/>
        <v>1</v>
      </c>
      <c r="R369" s="21">
        <f t="shared" si="103"/>
        <v>1</v>
      </c>
      <c r="S369" s="21">
        <f t="shared" si="104"/>
        <v>1</v>
      </c>
      <c r="T369" s="21">
        <f t="shared" si="105"/>
        <v>1</v>
      </c>
      <c r="U369" s="21">
        <f t="shared" si="106"/>
        <v>1</v>
      </c>
      <c r="V369" s="21">
        <f t="shared" si="107"/>
        <v>1</v>
      </c>
    </row>
    <row r="370" spans="1:22" x14ac:dyDescent="0.25">
      <c r="A370">
        <f>Tabelle2!A386</f>
        <v>0</v>
      </c>
      <c r="B370">
        <f>Tabelle2!$N386+(B$11*Tabelle2!$O386)</f>
        <v>0</v>
      </c>
      <c r="C370">
        <f>Tabelle2!$N386+(C$11*Tabelle2!$O386)</f>
        <v>0</v>
      </c>
      <c r="D370">
        <f>Tabelle2!$N386+(D$11*Tabelle2!$O386)</f>
        <v>0</v>
      </c>
      <c r="E370" s="21">
        <f t="shared" si="90"/>
        <v>1</v>
      </c>
      <c r="F370" s="21">
        <f t="shared" si="91"/>
        <v>1</v>
      </c>
      <c r="G370" s="21">
        <f t="shared" si="92"/>
        <v>1</v>
      </c>
      <c r="H370" s="21">
        <f t="shared" si="93"/>
        <v>1</v>
      </c>
      <c r="I370" s="21">
        <f t="shared" si="94"/>
        <v>1</v>
      </c>
      <c r="J370" s="21">
        <f t="shared" si="95"/>
        <v>1</v>
      </c>
      <c r="K370" s="21">
        <f t="shared" si="96"/>
        <v>1</v>
      </c>
      <c r="L370" s="21">
        <f t="shared" si="97"/>
        <v>1</v>
      </c>
      <c r="M370" s="21">
        <f t="shared" si="98"/>
        <v>1</v>
      </c>
      <c r="N370" s="21">
        <f t="shared" si="99"/>
        <v>1</v>
      </c>
      <c r="O370" s="21">
        <f t="shared" si="100"/>
        <v>1</v>
      </c>
      <c r="P370" s="21">
        <f t="shared" si="101"/>
        <v>1</v>
      </c>
      <c r="Q370" s="21">
        <f t="shared" si="102"/>
        <v>1</v>
      </c>
      <c r="R370" s="21">
        <f t="shared" si="103"/>
        <v>1</v>
      </c>
      <c r="S370" s="21">
        <f t="shared" si="104"/>
        <v>1</v>
      </c>
      <c r="T370" s="21">
        <f t="shared" si="105"/>
        <v>1</v>
      </c>
      <c r="U370" s="21">
        <f t="shared" si="106"/>
        <v>1</v>
      </c>
      <c r="V370" s="21">
        <f t="shared" si="107"/>
        <v>1</v>
      </c>
    </row>
    <row r="371" spans="1:22" x14ac:dyDescent="0.25">
      <c r="A371">
        <f>Tabelle2!A387</f>
        <v>0</v>
      </c>
      <c r="B371">
        <f>Tabelle2!$N387+(B$11*Tabelle2!$O387)</f>
        <v>0</v>
      </c>
      <c r="C371">
        <f>Tabelle2!$N387+(C$11*Tabelle2!$O387)</f>
        <v>0</v>
      </c>
      <c r="D371">
        <f>Tabelle2!$N387+(D$11*Tabelle2!$O387)</f>
        <v>0</v>
      </c>
      <c r="E371" s="21">
        <f t="shared" si="90"/>
        <v>1</v>
      </c>
      <c r="F371" s="21">
        <f t="shared" si="91"/>
        <v>1</v>
      </c>
      <c r="G371" s="21">
        <f t="shared" si="92"/>
        <v>1</v>
      </c>
      <c r="H371" s="21">
        <f t="shared" si="93"/>
        <v>1</v>
      </c>
      <c r="I371" s="21">
        <f t="shared" si="94"/>
        <v>1</v>
      </c>
      <c r="J371" s="21">
        <f t="shared" si="95"/>
        <v>1</v>
      </c>
      <c r="K371" s="21">
        <f t="shared" si="96"/>
        <v>1</v>
      </c>
      <c r="L371" s="21">
        <f t="shared" si="97"/>
        <v>1</v>
      </c>
      <c r="M371" s="21">
        <f t="shared" si="98"/>
        <v>1</v>
      </c>
      <c r="N371" s="21">
        <f t="shared" si="99"/>
        <v>1</v>
      </c>
      <c r="O371" s="21">
        <f t="shared" si="100"/>
        <v>1</v>
      </c>
      <c r="P371" s="21">
        <f t="shared" si="101"/>
        <v>1</v>
      </c>
      <c r="Q371" s="21">
        <f t="shared" si="102"/>
        <v>1</v>
      </c>
      <c r="R371" s="21">
        <f t="shared" si="103"/>
        <v>1</v>
      </c>
      <c r="S371" s="21">
        <f t="shared" si="104"/>
        <v>1</v>
      </c>
      <c r="T371" s="21">
        <f t="shared" si="105"/>
        <v>1</v>
      </c>
      <c r="U371" s="21">
        <f t="shared" si="106"/>
        <v>1</v>
      </c>
      <c r="V371" s="21">
        <f t="shared" si="107"/>
        <v>1</v>
      </c>
    </row>
    <row r="372" spans="1:22" x14ac:dyDescent="0.25">
      <c r="A372">
        <f>Tabelle2!A388</f>
        <v>0</v>
      </c>
      <c r="B372">
        <f>Tabelle2!$N388+(B$11*Tabelle2!$O388)</f>
        <v>0</v>
      </c>
      <c r="C372">
        <f>Tabelle2!$N388+(C$11*Tabelle2!$O388)</f>
        <v>0</v>
      </c>
      <c r="D372">
        <f>Tabelle2!$N388+(D$11*Tabelle2!$O388)</f>
        <v>0</v>
      </c>
      <c r="E372" s="21">
        <f t="shared" si="90"/>
        <v>1</v>
      </c>
      <c r="F372" s="21">
        <f t="shared" si="91"/>
        <v>1</v>
      </c>
      <c r="G372" s="21">
        <f t="shared" si="92"/>
        <v>1</v>
      </c>
      <c r="H372" s="21">
        <f t="shared" si="93"/>
        <v>1</v>
      </c>
      <c r="I372" s="21">
        <f t="shared" si="94"/>
        <v>1</v>
      </c>
      <c r="J372" s="21">
        <f t="shared" si="95"/>
        <v>1</v>
      </c>
      <c r="K372" s="21">
        <f t="shared" si="96"/>
        <v>1</v>
      </c>
      <c r="L372" s="21">
        <f t="shared" si="97"/>
        <v>1</v>
      </c>
      <c r="M372" s="21">
        <f t="shared" si="98"/>
        <v>1</v>
      </c>
      <c r="N372" s="21">
        <f t="shared" si="99"/>
        <v>1</v>
      </c>
      <c r="O372" s="21">
        <f t="shared" si="100"/>
        <v>1</v>
      </c>
      <c r="P372" s="21">
        <f t="shared" si="101"/>
        <v>1</v>
      </c>
      <c r="Q372" s="21">
        <f t="shared" si="102"/>
        <v>1</v>
      </c>
      <c r="R372" s="21">
        <f t="shared" si="103"/>
        <v>1</v>
      </c>
      <c r="S372" s="21">
        <f t="shared" si="104"/>
        <v>1</v>
      </c>
      <c r="T372" s="21">
        <f t="shared" si="105"/>
        <v>1</v>
      </c>
      <c r="U372" s="21">
        <f t="shared" si="106"/>
        <v>1</v>
      </c>
      <c r="V372" s="21">
        <f t="shared" si="107"/>
        <v>1</v>
      </c>
    </row>
    <row r="373" spans="1:22" x14ac:dyDescent="0.25">
      <c r="A373">
        <f>Tabelle2!A389</f>
        <v>0</v>
      </c>
      <c r="B373">
        <f>Tabelle2!$N389+(B$11*Tabelle2!$O389)</f>
        <v>0</v>
      </c>
      <c r="C373">
        <f>Tabelle2!$N389+(C$11*Tabelle2!$O389)</f>
        <v>0</v>
      </c>
      <c r="D373">
        <f>Tabelle2!$N389+(D$11*Tabelle2!$O389)</f>
        <v>0</v>
      </c>
      <c r="E373" s="21">
        <f t="shared" si="90"/>
        <v>1</v>
      </c>
      <c r="F373" s="21">
        <f t="shared" si="91"/>
        <v>1</v>
      </c>
      <c r="G373" s="21">
        <f t="shared" si="92"/>
        <v>1</v>
      </c>
      <c r="H373" s="21">
        <f t="shared" si="93"/>
        <v>1</v>
      </c>
      <c r="I373" s="21">
        <f t="shared" si="94"/>
        <v>1</v>
      </c>
      <c r="J373" s="21">
        <f t="shared" si="95"/>
        <v>1</v>
      </c>
      <c r="K373" s="21">
        <f t="shared" si="96"/>
        <v>1</v>
      </c>
      <c r="L373" s="21">
        <f t="shared" si="97"/>
        <v>1</v>
      </c>
      <c r="M373" s="21">
        <f t="shared" si="98"/>
        <v>1</v>
      </c>
      <c r="N373" s="21">
        <f t="shared" si="99"/>
        <v>1</v>
      </c>
      <c r="O373" s="21">
        <f t="shared" si="100"/>
        <v>1</v>
      </c>
      <c r="P373" s="21">
        <f t="shared" si="101"/>
        <v>1</v>
      </c>
      <c r="Q373" s="21">
        <f t="shared" si="102"/>
        <v>1</v>
      </c>
      <c r="R373" s="21">
        <f t="shared" si="103"/>
        <v>1</v>
      </c>
      <c r="S373" s="21">
        <f t="shared" si="104"/>
        <v>1</v>
      </c>
      <c r="T373" s="21">
        <f t="shared" si="105"/>
        <v>1</v>
      </c>
      <c r="U373" s="21">
        <f t="shared" si="106"/>
        <v>1</v>
      </c>
      <c r="V373" s="21">
        <f t="shared" si="107"/>
        <v>1</v>
      </c>
    </row>
    <row r="374" spans="1:22" x14ac:dyDescent="0.25">
      <c r="A374">
        <f>Tabelle2!A390</f>
        <v>0</v>
      </c>
      <c r="B374">
        <f>Tabelle2!$N390+(B$11*Tabelle2!$O390)</f>
        <v>0</v>
      </c>
      <c r="C374">
        <f>Tabelle2!$N390+(C$11*Tabelle2!$O390)</f>
        <v>0</v>
      </c>
      <c r="D374">
        <f>Tabelle2!$N390+(D$11*Tabelle2!$O390)</f>
        <v>0</v>
      </c>
      <c r="E374" s="21">
        <f t="shared" si="90"/>
        <v>1</v>
      </c>
      <c r="F374" s="21">
        <f t="shared" si="91"/>
        <v>1</v>
      </c>
      <c r="G374" s="21">
        <f t="shared" si="92"/>
        <v>1</v>
      </c>
      <c r="H374" s="21">
        <f t="shared" si="93"/>
        <v>1</v>
      </c>
      <c r="I374" s="21">
        <f t="shared" si="94"/>
        <v>1</v>
      </c>
      <c r="J374" s="21">
        <f t="shared" si="95"/>
        <v>1</v>
      </c>
      <c r="K374" s="21">
        <f t="shared" si="96"/>
        <v>1</v>
      </c>
      <c r="L374" s="21">
        <f t="shared" si="97"/>
        <v>1</v>
      </c>
      <c r="M374" s="21">
        <f t="shared" si="98"/>
        <v>1</v>
      </c>
      <c r="N374" s="21">
        <f t="shared" si="99"/>
        <v>1</v>
      </c>
      <c r="O374" s="21">
        <f t="shared" si="100"/>
        <v>1</v>
      </c>
      <c r="P374" s="21">
        <f t="shared" si="101"/>
        <v>1</v>
      </c>
      <c r="Q374" s="21">
        <f t="shared" si="102"/>
        <v>1</v>
      </c>
      <c r="R374" s="21">
        <f t="shared" si="103"/>
        <v>1</v>
      </c>
      <c r="S374" s="21">
        <f t="shared" si="104"/>
        <v>1</v>
      </c>
      <c r="T374" s="21">
        <f t="shared" si="105"/>
        <v>1</v>
      </c>
      <c r="U374" s="21">
        <f t="shared" si="106"/>
        <v>1</v>
      </c>
      <c r="V374" s="21">
        <f t="shared" si="107"/>
        <v>1</v>
      </c>
    </row>
    <row r="375" spans="1:22" x14ac:dyDescent="0.25">
      <c r="A375">
        <f>Tabelle2!A391</f>
        <v>0</v>
      </c>
      <c r="B375">
        <f>Tabelle2!$N391+(B$11*Tabelle2!$O391)</f>
        <v>0</v>
      </c>
      <c r="C375">
        <f>Tabelle2!$N391+(C$11*Tabelle2!$O391)</f>
        <v>0</v>
      </c>
      <c r="D375">
        <f>Tabelle2!$N391+(D$11*Tabelle2!$O391)</f>
        <v>0</v>
      </c>
      <c r="E375" s="21">
        <f t="shared" si="90"/>
        <v>1</v>
      </c>
      <c r="F375" s="21">
        <f t="shared" si="91"/>
        <v>1</v>
      </c>
      <c r="G375" s="21">
        <f t="shared" si="92"/>
        <v>1</v>
      </c>
      <c r="H375" s="21">
        <f t="shared" si="93"/>
        <v>1</v>
      </c>
      <c r="I375" s="21">
        <f t="shared" si="94"/>
        <v>1</v>
      </c>
      <c r="J375" s="21">
        <f t="shared" si="95"/>
        <v>1</v>
      </c>
      <c r="K375" s="21">
        <f t="shared" si="96"/>
        <v>1</v>
      </c>
      <c r="L375" s="21">
        <f t="shared" si="97"/>
        <v>1</v>
      </c>
      <c r="M375" s="21">
        <f t="shared" si="98"/>
        <v>1</v>
      </c>
      <c r="N375" s="21">
        <f t="shared" si="99"/>
        <v>1</v>
      </c>
      <c r="O375" s="21">
        <f t="shared" si="100"/>
        <v>1</v>
      </c>
      <c r="P375" s="21">
        <f t="shared" si="101"/>
        <v>1</v>
      </c>
      <c r="Q375" s="21">
        <f t="shared" si="102"/>
        <v>1</v>
      </c>
      <c r="R375" s="21">
        <f t="shared" si="103"/>
        <v>1</v>
      </c>
      <c r="S375" s="21">
        <f t="shared" si="104"/>
        <v>1</v>
      </c>
      <c r="T375" s="21">
        <f t="shared" si="105"/>
        <v>1</v>
      </c>
      <c r="U375" s="21">
        <f t="shared" si="106"/>
        <v>1</v>
      </c>
      <c r="V375" s="21">
        <f t="shared" si="107"/>
        <v>1</v>
      </c>
    </row>
    <row r="376" spans="1:22" x14ac:dyDescent="0.25">
      <c r="A376">
        <f>Tabelle2!A392</f>
        <v>0</v>
      </c>
      <c r="B376">
        <f>Tabelle2!$N392+(B$11*Tabelle2!$O392)</f>
        <v>0</v>
      </c>
      <c r="C376">
        <f>Tabelle2!$N392+(C$11*Tabelle2!$O392)</f>
        <v>0</v>
      </c>
      <c r="D376">
        <f>Tabelle2!$N392+(D$11*Tabelle2!$O392)</f>
        <v>0</v>
      </c>
      <c r="E376" s="21">
        <f t="shared" si="90"/>
        <v>1</v>
      </c>
      <c r="F376" s="21">
        <f t="shared" si="91"/>
        <v>1</v>
      </c>
      <c r="G376" s="21">
        <f t="shared" si="92"/>
        <v>1</v>
      </c>
      <c r="H376" s="21">
        <f t="shared" si="93"/>
        <v>1</v>
      </c>
      <c r="I376" s="21">
        <f t="shared" si="94"/>
        <v>1</v>
      </c>
      <c r="J376" s="21">
        <f t="shared" si="95"/>
        <v>1</v>
      </c>
      <c r="K376" s="21">
        <f t="shared" si="96"/>
        <v>1</v>
      </c>
      <c r="L376" s="21">
        <f t="shared" si="97"/>
        <v>1</v>
      </c>
      <c r="M376" s="21">
        <f t="shared" si="98"/>
        <v>1</v>
      </c>
      <c r="N376" s="21">
        <f t="shared" si="99"/>
        <v>1</v>
      </c>
      <c r="O376" s="21">
        <f t="shared" si="100"/>
        <v>1</v>
      </c>
      <c r="P376" s="21">
        <f t="shared" si="101"/>
        <v>1</v>
      </c>
      <c r="Q376" s="21">
        <f t="shared" si="102"/>
        <v>1</v>
      </c>
      <c r="R376" s="21">
        <f t="shared" si="103"/>
        <v>1</v>
      </c>
      <c r="S376" s="21">
        <f t="shared" si="104"/>
        <v>1</v>
      </c>
      <c r="T376" s="21">
        <f t="shared" si="105"/>
        <v>1</v>
      </c>
      <c r="U376" s="21">
        <f t="shared" si="106"/>
        <v>1</v>
      </c>
      <c r="V376" s="21">
        <f t="shared" si="107"/>
        <v>1</v>
      </c>
    </row>
    <row r="377" spans="1:22" x14ac:dyDescent="0.25">
      <c r="A377">
        <f>Tabelle2!A393</f>
        <v>0</v>
      </c>
      <c r="B377">
        <f>Tabelle2!$N393+(B$11*Tabelle2!$O393)</f>
        <v>0</v>
      </c>
      <c r="C377">
        <f>Tabelle2!$N393+(C$11*Tabelle2!$O393)</f>
        <v>0</v>
      </c>
      <c r="D377">
        <f>Tabelle2!$N393+(D$11*Tabelle2!$O393)</f>
        <v>0</v>
      </c>
      <c r="E377" s="21">
        <f t="shared" si="90"/>
        <v>1</v>
      </c>
      <c r="F377" s="21">
        <f t="shared" si="91"/>
        <v>1</v>
      </c>
      <c r="G377" s="21">
        <f t="shared" si="92"/>
        <v>1</v>
      </c>
      <c r="H377" s="21">
        <f t="shared" si="93"/>
        <v>1</v>
      </c>
      <c r="I377" s="21">
        <f t="shared" si="94"/>
        <v>1</v>
      </c>
      <c r="J377" s="21">
        <f t="shared" si="95"/>
        <v>1</v>
      </c>
      <c r="K377" s="21">
        <f t="shared" si="96"/>
        <v>1</v>
      </c>
      <c r="L377" s="21">
        <f t="shared" si="97"/>
        <v>1</v>
      </c>
      <c r="M377" s="21">
        <f t="shared" si="98"/>
        <v>1</v>
      </c>
      <c r="N377" s="21">
        <f t="shared" si="99"/>
        <v>1</v>
      </c>
      <c r="O377" s="21">
        <f t="shared" si="100"/>
        <v>1</v>
      </c>
      <c r="P377" s="21">
        <f t="shared" si="101"/>
        <v>1</v>
      </c>
      <c r="Q377" s="21">
        <f t="shared" si="102"/>
        <v>1</v>
      </c>
      <c r="R377" s="21">
        <f t="shared" si="103"/>
        <v>1</v>
      </c>
      <c r="S377" s="21">
        <f t="shared" si="104"/>
        <v>1</v>
      </c>
      <c r="T377" s="21">
        <f t="shared" si="105"/>
        <v>1</v>
      </c>
      <c r="U377" s="21">
        <f t="shared" si="106"/>
        <v>1</v>
      </c>
      <c r="V377" s="21">
        <f t="shared" si="107"/>
        <v>1</v>
      </c>
    </row>
    <row r="378" spans="1:22" x14ac:dyDescent="0.25">
      <c r="A378">
        <f>Tabelle2!A394</f>
        <v>0</v>
      </c>
      <c r="B378">
        <f>Tabelle2!$N394+(B$11*Tabelle2!$O394)</f>
        <v>0</v>
      </c>
      <c r="C378">
        <f>Tabelle2!$N394+(C$11*Tabelle2!$O394)</f>
        <v>0</v>
      </c>
      <c r="D378">
        <f>Tabelle2!$N394+(D$11*Tabelle2!$O394)</f>
        <v>0</v>
      </c>
      <c r="E378" s="21">
        <f t="shared" si="90"/>
        <v>1</v>
      </c>
      <c r="F378" s="21">
        <f t="shared" si="91"/>
        <v>1</v>
      </c>
      <c r="G378" s="21">
        <f t="shared" si="92"/>
        <v>1</v>
      </c>
      <c r="H378" s="21">
        <f t="shared" si="93"/>
        <v>1</v>
      </c>
      <c r="I378" s="21">
        <f t="shared" si="94"/>
        <v>1</v>
      </c>
      <c r="J378" s="21">
        <f t="shared" si="95"/>
        <v>1</v>
      </c>
      <c r="K378" s="21">
        <f t="shared" si="96"/>
        <v>1</v>
      </c>
      <c r="L378" s="21">
        <f t="shared" si="97"/>
        <v>1</v>
      </c>
      <c r="M378" s="21">
        <f t="shared" si="98"/>
        <v>1</v>
      </c>
      <c r="N378" s="21">
        <f t="shared" si="99"/>
        <v>1</v>
      </c>
      <c r="O378" s="21">
        <f t="shared" si="100"/>
        <v>1</v>
      </c>
      <c r="P378" s="21">
        <f t="shared" si="101"/>
        <v>1</v>
      </c>
      <c r="Q378" s="21">
        <f t="shared" si="102"/>
        <v>1</v>
      </c>
      <c r="R378" s="21">
        <f t="shared" si="103"/>
        <v>1</v>
      </c>
      <c r="S378" s="21">
        <f t="shared" si="104"/>
        <v>1</v>
      </c>
      <c r="T378" s="21">
        <f t="shared" si="105"/>
        <v>1</v>
      </c>
      <c r="U378" s="21">
        <f t="shared" si="106"/>
        <v>1</v>
      </c>
      <c r="V378" s="21">
        <f t="shared" si="107"/>
        <v>1</v>
      </c>
    </row>
    <row r="379" spans="1:22" x14ac:dyDescent="0.25">
      <c r="A379">
        <f>Tabelle2!A395</f>
        <v>0</v>
      </c>
      <c r="B379">
        <f>Tabelle2!$N395+(B$11*Tabelle2!$O395)</f>
        <v>0</v>
      </c>
      <c r="C379">
        <f>Tabelle2!$N395+(C$11*Tabelle2!$O395)</f>
        <v>0</v>
      </c>
      <c r="D379">
        <f>Tabelle2!$N395+(D$11*Tabelle2!$O395)</f>
        <v>0</v>
      </c>
      <c r="E379" s="21">
        <f t="shared" si="90"/>
        <v>1</v>
      </c>
      <c r="F379" s="21">
        <f t="shared" si="91"/>
        <v>1</v>
      </c>
      <c r="G379" s="21">
        <f t="shared" si="92"/>
        <v>1</v>
      </c>
      <c r="H379" s="21">
        <f t="shared" si="93"/>
        <v>1</v>
      </c>
      <c r="I379" s="21">
        <f t="shared" si="94"/>
        <v>1</v>
      </c>
      <c r="J379" s="21">
        <f t="shared" si="95"/>
        <v>1</v>
      </c>
      <c r="K379" s="21">
        <f t="shared" si="96"/>
        <v>1</v>
      </c>
      <c r="L379" s="21">
        <f t="shared" si="97"/>
        <v>1</v>
      </c>
      <c r="M379" s="21">
        <f t="shared" si="98"/>
        <v>1</v>
      </c>
      <c r="N379" s="21">
        <f t="shared" si="99"/>
        <v>1</v>
      </c>
      <c r="O379" s="21">
        <f t="shared" si="100"/>
        <v>1</v>
      </c>
      <c r="P379" s="21">
        <f t="shared" si="101"/>
        <v>1</v>
      </c>
      <c r="Q379" s="21">
        <f t="shared" si="102"/>
        <v>1</v>
      </c>
      <c r="R379" s="21">
        <f t="shared" si="103"/>
        <v>1</v>
      </c>
      <c r="S379" s="21">
        <f t="shared" si="104"/>
        <v>1</v>
      </c>
      <c r="T379" s="21">
        <f t="shared" si="105"/>
        <v>1</v>
      </c>
      <c r="U379" s="21">
        <f t="shared" si="106"/>
        <v>1</v>
      </c>
      <c r="V379" s="21">
        <f t="shared" si="107"/>
        <v>1</v>
      </c>
    </row>
    <row r="380" spans="1:22" x14ac:dyDescent="0.25">
      <c r="A380">
        <f>Tabelle2!A396</f>
        <v>0</v>
      </c>
      <c r="B380">
        <f>Tabelle2!$N396+(B$11*Tabelle2!$O396)</f>
        <v>0</v>
      </c>
      <c r="C380">
        <f>Tabelle2!$N396+(C$11*Tabelle2!$O396)</f>
        <v>0</v>
      </c>
      <c r="D380">
        <f>Tabelle2!$N396+(D$11*Tabelle2!$O396)</f>
        <v>0</v>
      </c>
      <c r="E380" s="21">
        <f t="shared" si="90"/>
        <v>1</v>
      </c>
      <c r="F380" s="21">
        <f t="shared" si="91"/>
        <v>1</v>
      </c>
      <c r="G380" s="21">
        <f t="shared" si="92"/>
        <v>1</v>
      </c>
      <c r="H380" s="21">
        <f t="shared" si="93"/>
        <v>1</v>
      </c>
      <c r="I380" s="21">
        <f t="shared" si="94"/>
        <v>1</v>
      </c>
      <c r="J380" s="21">
        <f t="shared" si="95"/>
        <v>1</v>
      </c>
      <c r="K380" s="21">
        <f t="shared" si="96"/>
        <v>1</v>
      </c>
      <c r="L380" s="21">
        <f t="shared" si="97"/>
        <v>1</v>
      </c>
      <c r="M380" s="21">
        <f t="shared" si="98"/>
        <v>1</v>
      </c>
      <c r="N380" s="21">
        <f t="shared" si="99"/>
        <v>1</v>
      </c>
      <c r="O380" s="21">
        <f t="shared" si="100"/>
        <v>1</v>
      </c>
      <c r="P380" s="21">
        <f t="shared" si="101"/>
        <v>1</v>
      </c>
      <c r="Q380" s="21">
        <f t="shared" si="102"/>
        <v>1</v>
      </c>
      <c r="R380" s="21">
        <f t="shared" si="103"/>
        <v>1</v>
      </c>
      <c r="S380" s="21">
        <f t="shared" si="104"/>
        <v>1</v>
      </c>
      <c r="T380" s="21">
        <f t="shared" si="105"/>
        <v>1</v>
      </c>
      <c r="U380" s="21">
        <f t="shared" si="106"/>
        <v>1</v>
      </c>
      <c r="V380" s="21">
        <f t="shared" si="107"/>
        <v>1</v>
      </c>
    </row>
    <row r="381" spans="1:22" x14ac:dyDescent="0.25">
      <c r="A381">
        <f>Tabelle2!A397</f>
        <v>0</v>
      </c>
      <c r="B381">
        <f>Tabelle2!$N397+(B$11*Tabelle2!$O397)</f>
        <v>0</v>
      </c>
      <c r="C381">
        <f>Tabelle2!$N397+(C$11*Tabelle2!$O397)</f>
        <v>0</v>
      </c>
      <c r="D381">
        <f>Tabelle2!$N397+(D$11*Tabelle2!$O397)</f>
        <v>0</v>
      </c>
      <c r="E381" s="21">
        <f t="shared" si="90"/>
        <v>1</v>
      </c>
      <c r="F381" s="21">
        <f t="shared" si="91"/>
        <v>1</v>
      </c>
      <c r="G381" s="21">
        <f t="shared" si="92"/>
        <v>1</v>
      </c>
      <c r="H381" s="21">
        <f t="shared" si="93"/>
        <v>1</v>
      </c>
      <c r="I381" s="21">
        <f t="shared" si="94"/>
        <v>1</v>
      </c>
      <c r="J381" s="21">
        <f t="shared" si="95"/>
        <v>1</v>
      </c>
      <c r="K381" s="21">
        <f t="shared" si="96"/>
        <v>1</v>
      </c>
      <c r="L381" s="21">
        <f t="shared" si="97"/>
        <v>1</v>
      </c>
      <c r="M381" s="21">
        <f t="shared" si="98"/>
        <v>1</v>
      </c>
      <c r="N381" s="21">
        <f t="shared" si="99"/>
        <v>1</v>
      </c>
      <c r="O381" s="21">
        <f t="shared" si="100"/>
        <v>1</v>
      </c>
      <c r="P381" s="21">
        <f t="shared" si="101"/>
        <v>1</v>
      </c>
      <c r="Q381" s="21">
        <f t="shared" si="102"/>
        <v>1</v>
      </c>
      <c r="R381" s="21">
        <f t="shared" si="103"/>
        <v>1</v>
      </c>
      <c r="S381" s="21">
        <f t="shared" si="104"/>
        <v>1</v>
      </c>
      <c r="T381" s="21">
        <f t="shared" si="105"/>
        <v>1</v>
      </c>
      <c r="U381" s="21">
        <f t="shared" si="106"/>
        <v>1</v>
      </c>
      <c r="V381" s="21">
        <f t="shared" si="107"/>
        <v>1</v>
      </c>
    </row>
    <row r="382" spans="1:22" x14ac:dyDescent="0.25">
      <c r="A382">
        <f>Tabelle2!A398</f>
        <v>0</v>
      </c>
      <c r="B382">
        <f>Tabelle2!$N398+(B$11*Tabelle2!$O398)</f>
        <v>0</v>
      </c>
      <c r="C382">
        <f>Tabelle2!$N398+(C$11*Tabelle2!$O398)</f>
        <v>0</v>
      </c>
      <c r="D382">
        <f>Tabelle2!$N398+(D$11*Tabelle2!$O398)</f>
        <v>0</v>
      </c>
      <c r="E382" s="21">
        <f t="shared" si="90"/>
        <v>1</v>
      </c>
      <c r="F382" s="21">
        <f t="shared" si="91"/>
        <v>1</v>
      </c>
      <c r="G382" s="21">
        <f t="shared" si="92"/>
        <v>1</v>
      </c>
      <c r="H382" s="21">
        <f t="shared" si="93"/>
        <v>1</v>
      </c>
      <c r="I382" s="21">
        <f t="shared" si="94"/>
        <v>1</v>
      </c>
      <c r="J382" s="21">
        <f t="shared" si="95"/>
        <v>1</v>
      </c>
      <c r="K382" s="21">
        <f t="shared" si="96"/>
        <v>1</v>
      </c>
      <c r="L382" s="21">
        <f t="shared" si="97"/>
        <v>1</v>
      </c>
      <c r="M382" s="21">
        <f t="shared" si="98"/>
        <v>1</v>
      </c>
      <c r="N382" s="21">
        <f t="shared" si="99"/>
        <v>1</v>
      </c>
      <c r="O382" s="21">
        <f t="shared" si="100"/>
        <v>1</v>
      </c>
      <c r="P382" s="21">
        <f t="shared" si="101"/>
        <v>1</v>
      </c>
      <c r="Q382" s="21">
        <f t="shared" si="102"/>
        <v>1</v>
      </c>
      <c r="R382" s="21">
        <f t="shared" si="103"/>
        <v>1</v>
      </c>
      <c r="S382" s="21">
        <f t="shared" si="104"/>
        <v>1</v>
      </c>
      <c r="T382" s="21">
        <f t="shared" si="105"/>
        <v>1</v>
      </c>
      <c r="U382" s="21">
        <f t="shared" si="106"/>
        <v>1</v>
      </c>
      <c r="V382" s="21">
        <f t="shared" si="107"/>
        <v>1</v>
      </c>
    </row>
    <row r="383" spans="1:22" x14ac:dyDescent="0.25">
      <c r="A383">
        <f>Tabelle2!A399</f>
        <v>0</v>
      </c>
      <c r="B383">
        <f>Tabelle2!$N399+(B$11*Tabelle2!$O399)</f>
        <v>0</v>
      </c>
      <c r="C383">
        <f>Tabelle2!$N399+(C$11*Tabelle2!$O399)</f>
        <v>0</v>
      </c>
      <c r="D383">
        <f>Tabelle2!$N399+(D$11*Tabelle2!$O399)</f>
        <v>0</v>
      </c>
      <c r="E383" s="21">
        <f t="shared" si="90"/>
        <v>1</v>
      </c>
      <c r="F383" s="21">
        <f t="shared" si="91"/>
        <v>1</v>
      </c>
      <c r="G383" s="21">
        <f t="shared" si="92"/>
        <v>1</v>
      </c>
      <c r="H383" s="21">
        <f t="shared" si="93"/>
        <v>1</v>
      </c>
      <c r="I383" s="21">
        <f t="shared" si="94"/>
        <v>1</v>
      </c>
      <c r="J383" s="21">
        <f t="shared" si="95"/>
        <v>1</v>
      </c>
      <c r="K383" s="21">
        <f t="shared" si="96"/>
        <v>1</v>
      </c>
      <c r="L383" s="21">
        <f t="shared" si="97"/>
        <v>1</v>
      </c>
      <c r="M383" s="21">
        <f t="shared" si="98"/>
        <v>1</v>
      </c>
      <c r="N383" s="21">
        <f t="shared" si="99"/>
        <v>1</v>
      </c>
      <c r="O383" s="21">
        <f t="shared" si="100"/>
        <v>1</v>
      </c>
      <c r="P383" s="21">
        <f t="shared" si="101"/>
        <v>1</v>
      </c>
      <c r="Q383" s="21">
        <f t="shared" si="102"/>
        <v>1</v>
      </c>
      <c r="R383" s="21">
        <f t="shared" si="103"/>
        <v>1</v>
      </c>
      <c r="S383" s="21">
        <f t="shared" si="104"/>
        <v>1</v>
      </c>
      <c r="T383" s="21">
        <f t="shared" si="105"/>
        <v>1</v>
      </c>
      <c r="U383" s="21">
        <f t="shared" si="106"/>
        <v>1</v>
      </c>
      <c r="V383" s="21">
        <f t="shared" si="107"/>
        <v>1</v>
      </c>
    </row>
    <row r="384" spans="1:22" x14ac:dyDescent="0.25">
      <c r="A384">
        <f>Tabelle2!A400</f>
        <v>0</v>
      </c>
      <c r="B384">
        <f>Tabelle2!$N400+(B$11*Tabelle2!$O400)</f>
        <v>0</v>
      </c>
      <c r="C384">
        <f>Tabelle2!$N400+(C$11*Tabelle2!$O400)</f>
        <v>0</v>
      </c>
      <c r="D384">
        <f>Tabelle2!$N400+(D$11*Tabelle2!$O400)</f>
        <v>0</v>
      </c>
      <c r="E384" s="21">
        <f t="shared" si="90"/>
        <v>1</v>
      </c>
      <c r="F384" s="21">
        <f t="shared" si="91"/>
        <v>1</v>
      </c>
      <c r="G384" s="21">
        <f t="shared" si="92"/>
        <v>1</v>
      </c>
      <c r="H384" s="21">
        <f t="shared" si="93"/>
        <v>1</v>
      </c>
      <c r="I384" s="21">
        <f t="shared" si="94"/>
        <v>1</v>
      </c>
      <c r="J384" s="21">
        <f t="shared" si="95"/>
        <v>1</v>
      </c>
      <c r="K384" s="21">
        <f t="shared" si="96"/>
        <v>1</v>
      </c>
      <c r="L384" s="21">
        <f t="shared" si="97"/>
        <v>1</v>
      </c>
      <c r="M384" s="21">
        <f t="shared" si="98"/>
        <v>1</v>
      </c>
      <c r="N384" s="21">
        <f t="shared" si="99"/>
        <v>1</v>
      </c>
      <c r="O384" s="21">
        <f t="shared" si="100"/>
        <v>1</v>
      </c>
      <c r="P384" s="21">
        <f t="shared" si="101"/>
        <v>1</v>
      </c>
      <c r="Q384" s="21">
        <f t="shared" si="102"/>
        <v>1</v>
      </c>
      <c r="R384" s="21">
        <f t="shared" si="103"/>
        <v>1</v>
      </c>
      <c r="S384" s="21">
        <f t="shared" si="104"/>
        <v>1</v>
      </c>
      <c r="T384" s="21">
        <f t="shared" si="105"/>
        <v>1</v>
      </c>
      <c r="U384" s="21">
        <f t="shared" si="106"/>
        <v>1</v>
      </c>
      <c r="V384" s="21">
        <f t="shared" si="107"/>
        <v>1</v>
      </c>
    </row>
    <row r="385" spans="1:22" x14ac:dyDescent="0.25">
      <c r="A385">
        <f>Tabelle2!A401</f>
        <v>0</v>
      </c>
      <c r="B385">
        <f>Tabelle2!$N401+(B$11*Tabelle2!$O401)</f>
        <v>0</v>
      </c>
      <c r="C385">
        <f>Tabelle2!$N401+(C$11*Tabelle2!$O401)</f>
        <v>0</v>
      </c>
      <c r="D385">
        <f>Tabelle2!$N401+(D$11*Tabelle2!$O401)</f>
        <v>0</v>
      </c>
      <c r="E385" s="21">
        <f t="shared" si="90"/>
        <v>1</v>
      </c>
      <c r="F385" s="21">
        <f t="shared" si="91"/>
        <v>1</v>
      </c>
      <c r="G385" s="21">
        <f t="shared" si="92"/>
        <v>1</v>
      </c>
      <c r="H385" s="21">
        <f t="shared" si="93"/>
        <v>1</v>
      </c>
      <c r="I385" s="21">
        <f t="shared" si="94"/>
        <v>1</v>
      </c>
      <c r="J385" s="21">
        <f t="shared" si="95"/>
        <v>1</v>
      </c>
      <c r="K385" s="21">
        <f t="shared" si="96"/>
        <v>1</v>
      </c>
      <c r="L385" s="21">
        <f t="shared" si="97"/>
        <v>1</v>
      </c>
      <c r="M385" s="21">
        <f t="shared" si="98"/>
        <v>1</v>
      </c>
      <c r="N385" s="21">
        <f t="shared" si="99"/>
        <v>1</v>
      </c>
      <c r="O385" s="21">
        <f t="shared" si="100"/>
        <v>1</v>
      </c>
      <c r="P385" s="21">
        <f t="shared" si="101"/>
        <v>1</v>
      </c>
      <c r="Q385" s="21">
        <f t="shared" si="102"/>
        <v>1</v>
      </c>
      <c r="R385" s="21">
        <f t="shared" si="103"/>
        <v>1</v>
      </c>
      <c r="S385" s="21">
        <f t="shared" si="104"/>
        <v>1</v>
      </c>
      <c r="T385" s="21">
        <f t="shared" si="105"/>
        <v>1</v>
      </c>
      <c r="U385" s="21">
        <f t="shared" si="106"/>
        <v>1</v>
      </c>
      <c r="V385" s="21">
        <f t="shared" si="107"/>
        <v>1</v>
      </c>
    </row>
    <row r="386" spans="1:22" x14ac:dyDescent="0.25">
      <c r="A386">
        <f>Tabelle2!A402</f>
        <v>0</v>
      </c>
      <c r="B386">
        <f>Tabelle2!$N402+(B$11*Tabelle2!$O402)</f>
        <v>0</v>
      </c>
      <c r="C386">
        <f>Tabelle2!$N402+(C$11*Tabelle2!$O402)</f>
        <v>0</v>
      </c>
      <c r="D386">
        <f>Tabelle2!$N402+(D$11*Tabelle2!$O402)</f>
        <v>0</v>
      </c>
      <c r="E386" s="21">
        <f t="shared" si="90"/>
        <v>1</v>
      </c>
      <c r="F386" s="21">
        <f t="shared" si="91"/>
        <v>1</v>
      </c>
      <c r="G386" s="21">
        <f t="shared" si="92"/>
        <v>1</v>
      </c>
      <c r="H386" s="21">
        <f t="shared" si="93"/>
        <v>1</v>
      </c>
      <c r="I386" s="21">
        <f t="shared" si="94"/>
        <v>1</v>
      </c>
      <c r="J386" s="21">
        <f t="shared" si="95"/>
        <v>1</v>
      </c>
      <c r="K386" s="21">
        <f t="shared" si="96"/>
        <v>1</v>
      </c>
      <c r="L386" s="21">
        <f t="shared" si="97"/>
        <v>1</v>
      </c>
      <c r="M386" s="21">
        <f t="shared" si="98"/>
        <v>1</v>
      </c>
      <c r="N386" s="21">
        <f t="shared" si="99"/>
        <v>1</v>
      </c>
      <c r="O386" s="21">
        <f t="shared" si="100"/>
        <v>1</v>
      </c>
      <c r="P386" s="21">
        <f t="shared" si="101"/>
        <v>1</v>
      </c>
      <c r="Q386" s="21">
        <f t="shared" si="102"/>
        <v>1</v>
      </c>
      <c r="R386" s="21">
        <f t="shared" si="103"/>
        <v>1</v>
      </c>
      <c r="S386" s="21">
        <f t="shared" si="104"/>
        <v>1</v>
      </c>
      <c r="T386" s="21">
        <f t="shared" si="105"/>
        <v>1</v>
      </c>
      <c r="U386" s="21">
        <f t="shared" si="106"/>
        <v>1</v>
      </c>
      <c r="V386" s="21">
        <f t="shared" si="107"/>
        <v>1</v>
      </c>
    </row>
    <row r="387" spans="1:22" x14ac:dyDescent="0.25">
      <c r="A387">
        <f>Tabelle2!A403</f>
        <v>0</v>
      </c>
      <c r="B387">
        <f>Tabelle2!$N403+(B$11*Tabelle2!$O403)</f>
        <v>0</v>
      </c>
      <c r="C387">
        <f>Tabelle2!$N403+(C$11*Tabelle2!$O403)</f>
        <v>0</v>
      </c>
      <c r="D387">
        <f>Tabelle2!$N403+(D$11*Tabelle2!$O403)</f>
        <v>0</v>
      </c>
      <c r="E387" s="21">
        <f t="shared" si="90"/>
        <v>1</v>
      </c>
      <c r="F387" s="21">
        <f t="shared" si="91"/>
        <v>1</v>
      </c>
      <c r="G387" s="21">
        <f t="shared" si="92"/>
        <v>1</v>
      </c>
      <c r="H387" s="21">
        <f t="shared" si="93"/>
        <v>1</v>
      </c>
      <c r="I387" s="21">
        <f t="shared" si="94"/>
        <v>1</v>
      </c>
      <c r="J387" s="21">
        <f t="shared" si="95"/>
        <v>1</v>
      </c>
      <c r="K387" s="21">
        <f t="shared" si="96"/>
        <v>1</v>
      </c>
      <c r="L387" s="21">
        <f t="shared" si="97"/>
        <v>1</v>
      </c>
      <c r="M387" s="21">
        <f t="shared" si="98"/>
        <v>1</v>
      </c>
      <c r="N387" s="21">
        <f t="shared" si="99"/>
        <v>1</v>
      </c>
      <c r="O387" s="21">
        <f t="shared" si="100"/>
        <v>1</v>
      </c>
      <c r="P387" s="21">
        <f t="shared" si="101"/>
        <v>1</v>
      </c>
      <c r="Q387" s="21">
        <f t="shared" si="102"/>
        <v>1</v>
      </c>
      <c r="R387" s="21">
        <f t="shared" si="103"/>
        <v>1</v>
      </c>
      <c r="S387" s="21">
        <f t="shared" si="104"/>
        <v>1</v>
      </c>
      <c r="T387" s="21">
        <f t="shared" si="105"/>
        <v>1</v>
      </c>
      <c r="U387" s="21">
        <f t="shared" si="106"/>
        <v>1</v>
      </c>
      <c r="V387" s="21">
        <f t="shared" si="107"/>
        <v>1</v>
      </c>
    </row>
    <row r="388" spans="1:22" x14ac:dyDescent="0.25">
      <c r="A388">
        <f>Tabelle2!A404</f>
        <v>0</v>
      </c>
      <c r="B388">
        <f>Tabelle2!$N404+(B$11*Tabelle2!$O404)</f>
        <v>0</v>
      </c>
      <c r="C388">
        <f>Tabelle2!$N404+(C$11*Tabelle2!$O404)</f>
        <v>0</v>
      </c>
      <c r="D388">
        <f>Tabelle2!$N404+(D$11*Tabelle2!$O404)</f>
        <v>0</v>
      </c>
      <c r="E388" s="21">
        <f t="shared" si="90"/>
        <v>1</v>
      </c>
      <c r="F388" s="21">
        <f t="shared" si="91"/>
        <v>1</v>
      </c>
      <c r="G388" s="21">
        <f t="shared" si="92"/>
        <v>1</v>
      </c>
      <c r="H388" s="21">
        <f t="shared" si="93"/>
        <v>1</v>
      </c>
      <c r="I388" s="21">
        <f t="shared" si="94"/>
        <v>1</v>
      </c>
      <c r="J388" s="21">
        <f t="shared" si="95"/>
        <v>1</v>
      </c>
      <c r="K388" s="21">
        <f t="shared" si="96"/>
        <v>1</v>
      </c>
      <c r="L388" s="21">
        <f t="shared" si="97"/>
        <v>1</v>
      </c>
      <c r="M388" s="21">
        <f t="shared" si="98"/>
        <v>1</v>
      </c>
      <c r="N388" s="21">
        <f t="shared" si="99"/>
        <v>1</v>
      </c>
      <c r="O388" s="21">
        <f t="shared" si="100"/>
        <v>1</v>
      </c>
      <c r="P388" s="21">
        <f t="shared" si="101"/>
        <v>1</v>
      </c>
      <c r="Q388" s="21">
        <f t="shared" si="102"/>
        <v>1</v>
      </c>
      <c r="R388" s="21">
        <f t="shared" si="103"/>
        <v>1</v>
      </c>
      <c r="S388" s="21">
        <f t="shared" si="104"/>
        <v>1</v>
      </c>
      <c r="T388" s="21">
        <f t="shared" si="105"/>
        <v>1</v>
      </c>
      <c r="U388" s="21">
        <f t="shared" si="106"/>
        <v>1</v>
      </c>
      <c r="V388" s="21">
        <f t="shared" si="107"/>
        <v>1</v>
      </c>
    </row>
    <row r="389" spans="1:22" x14ac:dyDescent="0.25">
      <c r="A389">
        <f>Tabelle2!A405</f>
        <v>0</v>
      </c>
      <c r="B389">
        <f>Tabelle2!$N405+(B$11*Tabelle2!$O405)</f>
        <v>0</v>
      </c>
      <c r="C389">
        <f>Tabelle2!$N405+(C$11*Tabelle2!$O405)</f>
        <v>0</v>
      </c>
      <c r="D389">
        <f>Tabelle2!$N405+(D$11*Tabelle2!$O405)</f>
        <v>0</v>
      </c>
      <c r="E389" s="21">
        <f t="shared" si="90"/>
        <v>1</v>
      </c>
      <c r="F389" s="21">
        <f t="shared" si="91"/>
        <v>1</v>
      </c>
      <c r="G389" s="21">
        <f t="shared" si="92"/>
        <v>1</v>
      </c>
      <c r="H389" s="21">
        <f t="shared" si="93"/>
        <v>1</v>
      </c>
      <c r="I389" s="21">
        <f t="shared" si="94"/>
        <v>1</v>
      </c>
      <c r="J389" s="21">
        <f t="shared" si="95"/>
        <v>1</v>
      </c>
      <c r="K389" s="21">
        <f t="shared" si="96"/>
        <v>1</v>
      </c>
      <c r="L389" s="21">
        <f t="shared" si="97"/>
        <v>1</v>
      </c>
      <c r="M389" s="21">
        <f t="shared" si="98"/>
        <v>1</v>
      </c>
      <c r="N389" s="21">
        <f t="shared" si="99"/>
        <v>1</v>
      </c>
      <c r="O389" s="21">
        <f t="shared" si="100"/>
        <v>1</v>
      </c>
      <c r="P389" s="21">
        <f t="shared" si="101"/>
        <v>1</v>
      </c>
      <c r="Q389" s="21">
        <f t="shared" si="102"/>
        <v>1</v>
      </c>
      <c r="R389" s="21">
        <f t="shared" si="103"/>
        <v>1</v>
      </c>
      <c r="S389" s="21">
        <f t="shared" si="104"/>
        <v>1</v>
      </c>
      <c r="T389" s="21">
        <f t="shared" si="105"/>
        <v>1</v>
      </c>
      <c r="U389" s="21">
        <f t="shared" si="106"/>
        <v>1</v>
      </c>
      <c r="V389" s="21">
        <f t="shared" si="107"/>
        <v>1</v>
      </c>
    </row>
    <row r="390" spans="1:22" x14ac:dyDescent="0.25">
      <c r="A390">
        <f>Tabelle2!A406</f>
        <v>0</v>
      </c>
      <c r="B390">
        <f>Tabelle2!$N406+(B$11*Tabelle2!$O406)</f>
        <v>0</v>
      </c>
      <c r="C390">
        <f>Tabelle2!$N406+(C$11*Tabelle2!$O406)</f>
        <v>0</v>
      </c>
      <c r="D390">
        <f>Tabelle2!$N406+(D$11*Tabelle2!$O406)</f>
        <v>0</v>
      </c>
      <c r="E390" s="21">
        <f t="shared" si="90"/>
        <v>1</v>
      </c>
      <c r="F390" s="21">
        <f t="shared" si="91"/>
        <v>1</v>
      </c>
      <c r="G390" s="21">
        <f t="shared" si="92"/>
        <v>1</v>
      </c>
      <c r="H390" s="21">
        <f t="shared" si="93"/>
        <v>1</v>
      </c>
      <c r="I390" s="21">
        <f t="shared" si="94"/>
        <v>1</v>
      </c>
      <c r="J390" s="21">
        <f t="shared" si="95"/>
        <v>1</v>
      </c>
      <c r="K390" s="21">
        <f t="shared" si="96"/>
        <v>1</v>
      </c>
      <c r="L390" s="21">
        <f t="shared" si="97"/>
        <v>1</v>
      </c>
      <c r="M390" s="21">
        <f t="shared" si="98"/>
        <v>1</v>
      </c>
      <c r="N390" s="21">
        <f t="shared" si="99"/>
        <v>1</v>
      </c>
      <c r="O390" s="21">
        <f t="shared" si="100"/>
        <v>1</v>
      </c>
      <c r="P390" s="21">
        <f t="shared" si="101"/>
        <v>1</v>
      </c>
      <c r="Q390" s="21">
        <f t="shared" si="102"/>
        <v>1</v>
      </c>
      <c r="R390" s="21">
        <f t="shared" si="103"/>
        <v>1</v>
      </c>
      <c r="S390" s="21">
        <f t="shared" si="104"/>
        <v>1</v>
      </c>
      <c r="T390" s="21">
        <f t="shared" si="105"/>
        <v>1</v>
      </c>
      <c r="U390" s="21">
        <f t="shared" si="106"/>
        <v>1</v>
      </c>
      <c r="V390" s="21">
        <f t="shared" si="107"/>
        <v>1</v>
      </c>
    </row>
    <row r="391" spans="1:22" x14ac:dyDescent="0.25">
      <c r="A391">
        <f>Tabelle2!A407</f>
        <v>0</v>
      </c>
      <c r="B391">
        <f>Tabelle2!$N407+(B$11*Tabelle2!$O407)</f>
        <v>0</v>
      </c>
      <c r="C391">
        <f>Tabelle2!$N407+(C$11*Tabelle2!$O407)</f>
        <v>0</v>
      </c>
      <c r="D391">
        <f>Tabelle2!$N407+(D$11*Tabelle2!$O407)</f>
        <v>0</v>
      </c>
      <c r="E391" s="21">
        <f t="shared" si="90"/>
        <v>1</v>
      </c>
      <c r="F391" s="21">
        <f t="shared" si="91"/>
        <v>1</v>
      </c>
      <c r="G391" s="21">
        <f t="shared" si="92"/>
        <v>1</v>
      </c>
      <c r="H391" s="21">
        <f t="shared" si="93"/>
        <v>1</v>
      </c>
      <c r="I391" s="21">
        <f t="shared" si="94"/>
        <v>1</v>
      </c>
      <c r="J391" s="21">
        <f t="shared" si="95"/>
        <v>1</v>
      </c>
      <c r="K391" s="21">
        <f t="shared" si="96"/>
        <v>1</v>
      </c>
      <c r="L391" s="21">
        <f t="shared" si="97"/>
        <v>1</v>
      </c>
      <c r="M391" s="21">
        <f t="shared" si="98"/>
        <v>1</v>
      </c>
      <c r="N391" s="21">
        <f t="shared" si="99"/>
        <v>1</v>
      </c>
      <c r="O391" s="21">
        <f t="shared" si="100"/>
        <v>1</v>
      </c>
      <c r="P391" s="21">
        <f t="shared" si="101"/>
        <v>1</v>
      </c>
      <c r="Q391" s="21">
        <f t="shared" si="102"/>
        <v>1</v>
      </c>
      <c r="R391" s="21">
        <f t="shared" si="103"/>
        <v>1</v>
      </c>
      <c r="S391" s="21">
        <f t="shared" si="104"/>
        <v>1</v>
      </c>
      <c r="T391" s="21">
        <f t="shared" si="105"/>
        <v>1</v>
      </c>
      <c r="U391" s="21">
        <f t="shared" si="106"/>
        <v>1</v>
      </c>
      <c r="V391" s="21">
        <f t="shared" si="107"/>
        <v>1</v>
      </c>
    </row>
    <row r="392" spans="1:22" x14ac:dyDescent="0.25">
      <c r="A392">
        <f>Tabelle2!A408</f>
        <v>0</v>
      </c>
      <c r="B392">
        <f>Tabelle2!$N408+(B$11*Tabelle2!$O408)</f>
        <v>0</v>
      </c>
      <c r="C392">
        <f>Tabelle2!$N408+(C$11*Tabelle2!$O408)</f>
        <v>0</v>
      </c>
      <c r="D392">
        <f>Tabelle2!$N408+(D$11*Tabelle2!$O408)</f>
        <v>0</v>
      </c>
      <c r="E392" s="21">
        <f t="shared" si="90"/>
        <v>1</v>
      </c>
      <c r="F392" s="21">
        <f t="shared" si="91"/>
        <v>1</v>
      </c>
      <c r="G392" s="21">
        <f t="shared" si="92"/>
        <v>1</v>
      </c>
      <c r="H392" s="21">
        <f t="shared" si="93"/>
        <v>1</v>
      </c>
      <c r="I392" s="21">
        <f t="shared" si="94"/>
        <v>1</v>
      </c>
      <c r="J392" s="21">
        <f t="shared" si="95"/>
        <v>1</v>
      </c>
      <c r="K392" s="21">
        <f t="shared" si="96"/>
        <v>1</v>
      </c>
      <c r="L392" s="21">
        <f t="shared" si="97"/>
        <v>1</v>
      </c>
      <c r="M392" s="21">
        <f t="shared" si="98"/>
        <v>1</v>
      </c>
      <c r="N392" s="21">
        <f t="shared" si="99"/>
        <v>1</v>
      </c>
      <c r="O392" s="21">
        <f t="shared" si="100"/>
        <v>1</v>
      </c>
      <c r="P392" s="21">
        <f t="shared" si="101"/>
        <v>1</v>
      </c>
      <c r="Q392" s="21">
        <f t="shared" si="102"/>
        <v>1</v>
      </c>
      <c r="R392" s="21">
        <f t="shared" si="103"/>
        <v>1</v>
      </c>
      <c r="S392" s="21">
        <f t="shared" si="104"/>
        <v>1</v>
      </c>
      <c r="T392" s="21">
        <f t="shared" si="105"/>
        <v>1</v>
      </c>
      <c r="U392" s="21">
        <f t="shared" si="106"/>
        <v>1</v>
      </c>
      <c r="V392" s="21">
        <f t="shared" si="107"/>
        <v>1</v>
      </c>
    </row>
    <row r="393" spans="1:22" x14ac:dyDescent="0.25">
      <c r="A393">
        <f>Tabelle2!A409</f>
        <v>0</v>
      </c>
      <c r="B393">
        <f>Tabelle2!$N409+(B$11*Tabelle2!$O409)</f>
        <v>0</v>
      </c>
      <c r="C393">
        <f>Tabelle2!$N409+(C$11*Tabelle2!$O409)</f>
        <v>0</v>
      </c>
      <c r="D393">
        <f>Tabelle2!$N409+(D$11*Tabelle2!$O409)</f>
        <v>0</v>
      </c>
      <c r="E393" s="21">
        <f t="shared" si="90"/>
        <v>1</v>
      </c>
      <c r="F393" s="21">
        <f t="shared" si="91"/>
        <v>1</v>
      </c>
      <c r="G393" s="21">
        <f t="shared" si="92"/>
        <v>1</v>
      </c>
      <c r="H393" s="21">
        <f t="shared" si="93"/>
        <v>1</v>
      </c>
      <c r="I393" s="21">
        <f t="shared" si="94"/>
        <v>1</v>
      </c>
      <c r="J393" s="21">
        <f t="shared" si="95"/>
        <v>1</v>
      </c>
      <c r="K393" s="21">
        <f t="shared" si="96"/>
        <v>1</v>
      </c>
      <c r="L393" s="21">
        <f t="shared" si="97"/>
        <v>1</v>
      </c>
      <c r="M393" s="21">
        <f t="shared" si="98"/>
        <v>1</v>
      </c>
      <c r="N393" s="21">
        <f t="shared" si="99"/>
        <v>1</v>
      </c>
      <c r="O393" s="21">
        <f t="shared" si="100"/>
        <v>1</v>
      </c>
      <c r="P393" s="21">
        <f t="shared" si="101"/>
        <v>1</v>
      </c>
      <c r="Q393" s="21">
        <f t="shared" si="102"/>
        <v>1</v>
      </c>
      <c r="R393" s="21">
        <f t="shared" si="103"/>
        <v>1</v>
      </c>
      <c r="S393" s="21">
        <f t="shared" si="104"/>
        <v>1</v>
      </c>
      <c r="T393" s="21">
        <f t="shared" si="105"/>
        <v>1</v>
      </c>
      <c r="U393" s="21">
        <f t="shared" si="106"/>
        <v>1</v>
      </c>
      <c r="V393" s="21">
        <f t="shared" si="107"/>
        <v>1</v>
      </c>
    </row>
    <row r="394" spans="1:22" x14ac:dyDescent="0.25">
      <c r="A394">
        <f>Tabelle2!A410</f>
        <v>0</v>
      </c>
      <c r="B394">
        <f>Tabelle2!$N410+(B$11*Tabelle2!$O410)</f>
        <v>0</v>
      </c>
      <c r="C394">
        <f>Tabelle2!$N410+(C$11*Tabelle2!$O410)</f>
        <v>0</v>
      </c>
      <c r="D394">
        <f>Tabelle2!$N410+(D$11*Tabelle2!$O410)</f>
        <v>0</v>
      </c>
      <c r="E394" s="21">
        <f t="shared" si="90"/>
        <v>1</v>
      </c>
      <c r="F394" s="21">
        <f t="shared" si="91"/>
        <v>1</v>
      </c>
      <c r="G394" s="21">
        <f t="shared" si="92"/>
        <v>1</v>
      </c>
      <c r="H394" s="21">
        <f t="shared" si="93"/>
        <v>1</v>
      </c>
      <c r="I394" s="21">
        <f t="shared" si="94"/>
        <v>1</v>
      </c>
      <c r="J394" s="21">
        <f t="shared" si="95"/>
        <v>1</v>
      </c>
      <c r="K394" s="21">
        <f t="shared" si="96"/>
        <v>1</v>
      </c>
      <c r="L394" s="21">
        <f t="shared" si="97"/>
        <v>1</v>
      </c>
      <c r="M394" s="21">
        <f t="shared" si="98"/>
        <v>1</v>
      </c>
      <c r="N394" s="21">
        <f t="shared" si="99"/>
        <v>1</v>
      </c>
      <c r="O394" s="21">
        <f t="shared" si="100"/>
        <v>1</v>
      </c>
      <c r="P394" s="21">
        <f t="shared" si="101"/>
        <v>1</v>
      </c>
      <c r="Q394" s="21">
        <f t="shared" si="102"/>
        <v>1</v>
      </c>
      <c r="R394" s="21">
        <f t="shared" si="103"/>
        <v>1</v>
      </c>
      <c r="S394" s="21">
        <f t="shared" si="104"/>
        <v>1</v>
      </c>
      <c r="T394" s="21">
        <f t="shared" si="105"/>
        <v>1</v>
      </c>
      <c r="U394" s="21">
        <f t="shared" si="106"/>
        <v>1</v>
      </c>
      <c r="V394" s="21">
        <f t="shared" si="107"/>
        <v>1</v>
      </c>
    </row>
    <row r="395" spans="1:22" x14ac:dyDescent="0.25">
      <c r="A395">
        <f>Tabelle2!A411</f>
        <v>0</v>
      </c>
      <c r="B395">
        <f>Tabelle2!$N411+(B$11*Tabelle2!$O411)</f>
        <v>0</v>
      </c>
      <c r="C395">
        <f>Tabelle2!$N411+(C$11*Tabelle2!$O411)</f>
        <v>0</v>
      </c>
      <c r="D395">
        <f>Tabelle2!$N411+(D$11*Tabelle2!$O411)</f>
        <v>0</v>
      </c>
      <c r="E395" s="21">
        <f t="shared" si="90"/>
        <v>1</v>
      </c>
      <c r="F395" s="21">
        <f t="shared" si="91"/>
        <v>1</v>
      </c>
      <c r="G395" s="21">
        <f t="shared" si="92"/>
        <v>1</v>
      </c>
      <c r="H395" s="21">
        <f t="shared" si="93"/>
        <v>1</v>
      </c>
      <c r="I395" s="21">
        <f t="shared" si="94"/>
        <v>1</v>
      </c>
      <c r="J395" s="21">
        <f t="shared" si="95"/>
        <v>1</v>
      </c>
      <c r="K395" s="21">
        <f t="shared" si="96"/>
        <v>1</v>
      </c>
      <c r="L395" s="21">
        <f t="shared" si="97"/>
        <v>1</v>
      </c>
      <c r="M395" s="21">
        <f t="shared" si="98"/>
        <v>1</v>
      </c>
      <c r="N395" s="21">
        <f t="shared" si="99"/>
        <v>1</v>
      </c>
      <c r="O395" s="21">
        <f t="shared" si="100"/>
        <v>1</v>
      </c>
      <c r="P395" s="21">
        <f t="shared" si="101"/>
        <v>1</v>
      </c>
      <c r="Q395" s="21">
        <f t="shared" si="102"/>
        <v>1</v>
      </c>
      <c r="R395" s="21">
        <f t="shared" si="103"/>
        <v>1</v>
      </c>
      <c r="S395" s="21">
        <f t="shared" si="104"/>
        <v>1</v>
      </c>
      <c r="T395" s="21">
        <f t="shared" si="105"/>
        <v>1</v>
      </c>
      <c r="U395" s="21">
        <f t="shared" si="106"/>
        <v>1</v>
      </c>
      <c r="V395" s="21">
        <f t="shared" si="107"/>
        <v>1</v>
      </c>
    </row>
    <row r="396" spans="1:22" x14ac:dyDescent="0.25">
      <c r="A396">
        <f>Tabelle2!A412</f>
        <v>0</v>
      </c>
      <c r="B396">
        <f>Tabelle2!$N412+(B$11*Tabelle2!$O412)</f>
        <v>0</v>
      </c>
      <c r="C396">
        <f>Tabelle2!$N412+(C$11*Tabelle2!$O412)</f>
        <v>0</v>
      </c>
      <c r="D396">
        <f>Tabelle2!$N412+(D$11*Tabelle2!$O412)</f>
        <v>0</v>
      </c>
      <c r="E396" s="21">
        <f t="shared" si="90"/>
        <v>1</v>
      </c>
      <c r="F396" s="21">
        <f t="shared" si="91"/>
        <v>1</v>
      </c>
      <c r="G396" s="21">
        <f t="shared" si="92"/>
        <v>1</v>
      </c>
      <c r="H396" s="21">
        <f t="shared" si="93"/>
        <v>1</v>
      </c>
      <c r="I396" s="21">
        <f t="shared" si="94"/>
        <v>1</v>
      </c>
      <c r="J396" s="21">
        <f t="shared" si="95"/>
        <v>1</v>
      </c>
      <c r="K396" s="21">
        <f t="shared" si="96"/>
        <v>1</v>
      </c>
      <c r="L396" s="21">
        <f t="shared" si="97"/>
        <v>1</v>
      </c>
      <c r="M396" s="21">
        <f t="shared" si="98"/>
        <v>1</v>
      </c>
      <c r="N396" s="21">
        <f t="shared" si="99"/>
        <v>1</v>
      </c>
      <c r="O396" s="21">
        <f t="shared" si="100"/>
        <v>1</v>
      </c>
      <c r="P396" s="21">
        <f t="shared" si="101"/>
        <v>1</v>
      </c>
      <c r="Q396" s="21">
        <f t="shared" si="102"/>
        <v>1</v>
      </c>
      <c r="R396" s="21">
        <f t="shared" si="103"/>
        <v>1</v>
      </c>
      <c r="S396" s="21">
        <f t="shared" si="104"/>
        <v>1</v>
      </c>
      <c r="T396" s="21">
        <f t="shared" si="105"/>
        <v>1</v>
      </c>
      <c r="U396" s="21">
        <f t="shared" si="106"/>
        <v>1</v>
      </c>
      <c r="V396" s="21">
        <f t="shared" si="107"/>
        <v>1</v>
      </c>
    </row>
    <row r="397" spans="1:22" x14ac:dyDescent="0.25">
      <c r="A397">
        <f>Tabelle2!A413</f>
        <v>0</v>
      </c>
      <c r="B397">
        <f>Tabelle2!$N413+(B$11*Tabelle2!$O413)</f>
        <v>0</v>
      </c>
      <c r="C397">
        <f>Tabelle2!$N413+(C$11*Tabelle2!$O413)</f>
        <v>0</v>
      </c>
      <c r="D397">
        <f>Tabelle2!$N413+(D$11*Tabelle2!$O413)</f>
        <v>0</v>
      </c>
      <c r="E397" s="21">
        <f t="shared" ref="E397:E460" si="108">POWER($C$2,$B397/$B$2)</f>
        <v>1</v>
      </c>
      <c r="F397" s="21">
        <f t="shared" ref="F397:F460" si="109">POWER($C$2,$C397/$B$2)</f>
        <v>1</v>
      </c>
      <c r="G397" s="21">
        <f t="shared" ref="G397:G460" si="110">POWER($C$2,$D397/$B$2)</f>
        <v>1</v>
      </c>
      <c r="H397" s="21">
        <f t="shared" ref="H397:H460" si="111">POWER($C$3,$B397/$B$3)</f>
        <v>1</v>
      </c>
      <c r="I397" s="21">
        <f t="shared" ref="I397:I460" si="112">POWER($C$3,$C397/$B$3)</f>
        <v>1</v>
      </c>
      <c r="J397" s="21">
        <f t="shared" ref="J397:J460" si="113">POWER($C$3,$D397/$B$3)</f>
        <v>1</v>
      </c>
      <c r="K397" s="21">
        <f t="shared" ref="K397:K460" si="114">POWER($C$4,$B397/$B$4)</f>
        <v>1</v>
      </c>
      <c r="L397" s="21">
        <f t="shared" ref="L397:L460" si="115">POWER($C$4,$C397/$B$4)</f>
        <v>1</v>
      </c>
      <c r="M397" s="21">
        <f t="shared" ref="M397:M460" si="116">POWER($C$4,$D397/$B$4)</f>
        <v>1</v>
      </c>
      <c r="N397" s="21">
        <f t="shared" ref="N397:N460" si="117">POWER($C$5,$B397/$B$5)</f>
        <v>1</v>
      </c>
      <c r="O397" s="21">
        <f t="shared" ref="O397:O460" si="118">POWER($C$5,$C397/$B$5)</f>
        <v>1</v>
      </c>
      <c r="P397" s="21">
        <f t="shared" ref="P397:P460" si="119">POWER($C$5,$D397/$B$5)</f>
        <v>1</v>
      </c>
      <c r="Q397" s="21">
        <f t="shared" ref="Q397:Q460" si="120">POWER($C$6,$B397/$B$6)</f>
        <v>1</v>
      </c>
      <c r="R397" s="21">
        <f t="shared" ref="R397:R460" si="121">POWER($C$6,$C397/$B$6)</f>
        <v>1</v>
      </c>
      <c r="S397" s="21">
        <f t="shared" ref="S397:S460" si="122">POWER($C$6,$D397/$B$6)</f>
        <v>1</v>
      </c>
      <c r="T397" s="21">
        <f t="shared" ref="T397:T460" si="123">POWER($C$7,$B397/$B$7)</f>
        <v>1</v>
      </c>
      <c r="U397" s="21">
        <f t="shared" ref="U397:U460" si="124">POWER($C$7,$C397/$B$7)</f>
        <v>1</v>
      </c>
      <c r="V397" s="21">
        <f t="shared" ref="V397:V460" si="125">POWER($C$7,$D397/$B$7)</f>
        <v>1</v>
      </c>
    </row>
    <row r="398" spans="1:22" x14ac:dyDescent="0.25">
      <c r="A398">
        <f>Tabelle2!A414</f>
        <v>0</v>
      </c>
      <c r="B398">
        <f>Tabelle2!$N414+(B$11*Tabelle2!$O414)</f>
        <v>0</v>
      </c>
      <c r="C398">
        <f>Tabelle2!$N414+(C$11*Tabelle2!$O414)</f>
        <v>0</v>
      </c>
      <c r="D398">
        <f>Tabelle2!$N414+(D$11*Tabelle2!$O414)</f>
        <v>0</v>
      </c>
      <c r="E398" s="21">
        <f t="shared" si="108"/>
        <v>1</v>
      </c>
      <c r="F398" s="21">
        <f t="shared" si="109"/>
        <v>1</v>
      </c>
      <c r="G398" s="21">
        <f t="shared" si="110"/>
        <v>1</v>
      </c>
      <c r="H398" s="21">
        <f t="shared" si="111"/>
        <v>1</v>
      </c>
      <c r="I398" s="21">
        <f t="shared" si="112"/>
        <v>1</v>
      </c>
      <c r="J398" s="21">
        <f t="shared" si="113"/>
        <v>1</v>
      </c>
      <c r="K398" s="21">
        <f t="shared" si="114"/>
        <v>1</v>
      </c>
      <c r="L398" s="21">
        <f t="shared" si="115"/>
        <v>1</v>
      </c>
      <c r="M398" s="21">
        <f t="shared" si="116"/>
        <v>1</v>
      </c>
      <c r="N398" s="21">
        <f t="shared" si="117"/>
        <v>1</v>
      </c>
      <c r="O398" s="21">
        <f t="shared" si="118"/>
        <v>1</v>
      </c>
      <c r="P398" s="21">
        <f t="shared" si="119"/>
        <v>1</v>
      </c>
      <c r="Q398" s="21">
        <f t="shared" si="120"/>
        <v>1</v>
      </c>
      <c r="R398" s="21">
        <f t="shared" si="121"/>
        <v>1</v>
      </c>
      <c r="S398" s="21">
        <f t="shared" si="122"/>
        <v>1</v>
      </c>
      <c r="T398" s="21">
        <f t="shared" si="123"/>
        <v>1</v>
      </c>
      <c r="U398" s="21">
        <f t="shared" si="124"/>
        <v>1</v>
      </c>
      <c r="V398" s="21">
        <f t="shared" si="125"/>
        <v>1</v>
      </c>
    </row>
    <row r="399" spans="1:22" x14ac:dyDescent="0.25">
      <c r="A399">
        <f>Tabelle2!A415</f>
        <v>0</v>
      </c>
      <c r="B399">
        <f>Tabelle2!$N415+(B$11*Tabelle2!$O415)</f>
        <v>0</v>
      </c>
      <c r="C399">
        <f>Tabelle2!$N415+(C$11*Tabelle2!$O415)</f>
        <v>0</v>
      </c>
      <c r="D399">
        <f>Tabelle2!$N415+(D$11*Tabelle2!$O415)</f>
        <v>0</v>
      </c>
      <c r="E399" s="21">
        <f t="shared" si="108"/>
        <v>1</v>
      </c>
      <c r="F399" s="21">
        <f t="shared" si="109"/>
        <v>1</v>
      </c>
      <c r="G399" s="21">
        <f t="shared" si="110"/>
        <v>1</v>
      </c>
      <c r="H399" s="21">
        <f t="shared" si="111"/>
        <v>1</v>
      </c>
      <c r="I399" s="21">
        <f t="shared" si="112"/>
        <v>1</v>
      </c>
      <c r="J399" s="21">
        <f t="shared" si="113"/>
        <v>1</v>
      </c>
      <c r="K399" s="21">
        <f t="shared" si="114"/>
        <v>1</v>
      </c>
      <c r="L399" s="21">
        <f t="shared" si="115"/>
        <v>1</v>
      </c>
      <c r="M399" s="21">
        <f t="shared" si="116"/>
        <v>1</v>
      </c>
      <c r="N399" s="21">
        <f t="shared" si="117"/>
        <v>1</v>
      </c>
      <c r="O399" s="21">
        <f t="shared" si="118"/>
        <v>1</v>
      </c>
      <c r="P399" s="21">
        <f t="shared" si="119"/>
        <v>1</v>
      </c>
      <c r="Q399" s="21">
        <f t="shared" si="120"/>
        <v>1</v>
      </c>
      <c r="R399" s="21">
        <f t="shared" si="121"/>
        <v>1</v>
      </c>
      <c r="S399" s="21">
        <f t="shared" si="122"/>
        <v>1</v>
      </c>
      <c r="T399" s="21">
        <f t="shared" si="123"/>
        <v>1</v>
      </c>
      <c r="U399" s="21">
        <f t="shared" si="124"/>
        <v>1</v>
      </c>
      <c r="V399" s="21">
        <f t="shared" si="125"/>
        <v>1</v>
      </c>
    </row>
    <row r="400" spans="1:22" x14ac:dyDescent="0.25">
      <c r="A400">
        <f>Tabelle2!A416</f>
        <v>0</v>
      </c>
      <c r="B400">
        <f>Tabelle2!$N416+(B$11*Tabelle2!$O416)</f>
        <v>0</v>
      </c>
      <c r="C400">
        <f>Tabelle2!$N416+(C$11*Tabelle2!$O416)</f>
        <v>0</v>
      </c>
      <c r="D400">
        <f>Tabelle2!$N416+(D$11*Tabelle2!$O416)</f>
        <v>0</v>
      </c>
      <c r="E400" s="21">
        <f t="shared" si="108"/>
        <v>1</v>
      </c>
      <c r="F400" s="21">
        <f t="shared" si="109"/>
        <v>1</v>
      </c>
      <c r="G400" s="21">
        <f t="shared" si="110"/>
        <v>1</v>
      </c>
      <c r="H400" s="21">
        <f t="shared" si="111"/>
        <v>1</v>
      </c>
      <c r="I400" s="21">
        <f t="shared" si="112"/>
        <v>1</v>
      </c>
      <c r="J400" s="21">
        <f t="shared" si="113"/>
        <v>1</v>
      </c>
      <c r="K400" s="21">
        <f t="shared" si="114"/>
        <v>1</v>
      </c>
      <c r="L400" s="21">
        <f t="shared" si="115"/>
        <v>1</v>
      </c>
      <c r="M400" s="21">
        <f t="shared" si="116"/>
        <v>1</v>
      </c>
      <c r="N400" s="21">
        <f t="shared" si="117"/>
        <v>1</v>
      </c>
      <c r="O400" s="21">
        <f t="shared" si="118"/>
        <v>1</v>
      </c>
      <c r="P400" s="21">
        <f t="shared" si="119"/>
        <v>1</v>
      </c>
      <c r="Q400" s="21">
        <f t="shared" si="120"/>
        <v>1</v>
      </c>
      <c r="R400" s="21">
        <f t="shared" si="121"/>
        <v>1</v>
      </c>
      <c r="S400" s="21">
        <f t="shared" si="122"/>
        <v>1</v>
      </c>
      <c r="T400" s="21">
        <f t="shared" si="123"/>
        <v>1</v>
      </c>
      <c r="U400" s="21">
        <f t="shared" si="124"/>
        <v>1</v>
      </c>
      <c r="V400" s="21">
        <f t="shared" si="125"/>
        <v>1</v>
      </c>
    </row>
    <row r="401" spans="1:22" x14ac:dyDescent="0.25">
      <c r="A401">
        <f>Tabelle2!A417</f>
        <v>0</v>
      </c>
      <c r="B401">
        <f>Tabelle2!$N417+(B$11*Tabelle2!$O417)</f>
        <v>0</v>
      </c>
      <c r="C401">
        <f>Tabelle2!$N417+(C$11*Tabelle2!$O417)</f>
        <v>0</v>
      </c>
      <c r="D401">
        <f>Tabelle2!$N417+(D$11*Tabelle2!$O417)</f>
        <v>0</v>
      </c>
      <c r="E401" s="21">
        <f t="shared" si="108"/>
        <v>1</v>
      </c>
      <c r="F401" s="21">
        <f t="shared" si="109"/>
        <v>1</v>
      </c>
      <c r="G401" s="21">
        <f t="shared" si="110"/>
        <v>1</v>
      </c>
      <c r="H401" s="21">
        <f t="shared" si="111"/>
        <v>1</v>
      </c>
      <c r="I401" s="21">
        <f t="shared" si="112"/>
        <v>1</v>
      </c>
      <c r="J401" s="21">
        <f t="shared" si="113"/>
        <v>1</v>
      </c>
      <c r="K401" s="21">
        <f t="shared" si="114"/>
        <v>1</v>
      </c>
      <c r="L401" s="21">
        <f t="shared" si="115"/>
        <v>1</v>
      </c>
      <c r="M401" s="21">
        <f t="shared" si="116"/>
        <v>1</v>
      </c>
      <c r="N401" s="21">
        <f t="shared" si="117"/>
        <v>1</v>
      </c>
      <c r="O401" s="21">
        <f t="shared" si="118"/>
        <v>1</v>
      </c>
      <c r="P401" s="21">
        <f t="shared" si="119"/>
        <v>1</v>
      </c>
      <c r="Q401" s="21">
        <f t="shared" si="120"/>
        <v>1</v>
      </c>
      <c r="R401" s="21">
        <f t="shared" si="121"/>
        <v>1</v>
      </c>
      <c r="S401" s="21">
        <f t="shared" si="122"/>
        <v>1</v>
      </c>
      <c r="T401" s="21">
        <f t="shared" si="123"/>
        <v>1</v>
      </c>
      <c r="U401" s="21">
        <f t="shared" si="124"/>
        <v>1</v>
      </c>
      <c r="V401" s="21">
        <f t="shared" si="125"/>
        <v>1</v>
      </c>
    </row>
    <row r="402" spans="1:22" x14ac:dyDescent="0.25">
      <c r="A402">
        <f>Tabelle2!A418</f>
        <v>0</v>
      </c>
      <c r="B402">
        <f>Tabelle2!$N418+(B$11*Tabelle2!$O418)</f>
        <v>0</v>
      </c>
      <c r="C402">
        <f>Tabelle2!$N418+(C$11*Tabelle2!$O418)</f>
        <v>0</v>
      </c>
      <c r="D402">
        <f>Tabelle2!$N418+(D$11*Tabelle2!$O418)</f>
        <v>0</v>
      </c>
      <c r="E402" s="21">
        <f t="shared" si="108"/>
        <v>1</v>
      </c>
      <c r="F402" s="21">
        <f t="shared" si="109"/>
        <v>1</v>
      </c>
      <c r="G402" s="21">
        <f t="shared" si="110"/>
        <v>1</v>
      </c>
      <c r="H402" s="21">
        <f t="shared" si="111"/>
        <v>1</v>
      </c>
      <c r="I402" s="21">
        <f t="shared" si="112"/>
        <v>1</v>
      </c>
      <c r="J402" s="21">
        <f t="shared" si="113"/>
        <v>1</v>
      </c>
      <c r="K402" s="21">
        <f t="shared" si="114"/>
        <v>1</v>
      </c>
      <c r="L402" s="21">
        <f t="shared" si="115"/>
        <v>1</v>
      </c>
      <c r="M402" s="21">
        <f t="shared" si="116"/>
        <v>1</v>
      </c>
      <c r="N402" s="21">
        <f t="shared" si="117"/>
        <v>1</v>
      </c>
      <c r="O402" s="21">
        <f t="shared" si="118"/>
        <v>1</v>
      </c>
      <c r="P402" s="21">
        <f t="shared" si="119"/>
        <v>1</v>
      </c>
      <c r="Q402" s="21">
        <f t="shared" si="120"/>
        <v>1</v>
      </c>
      <c r="R402" s="21">
        <f t="shared" si="121"/>
        <v>1</v>
      </c>
      <c r="S402" s="21">
        <f t="shared" si="122"/>
        <v>1</v>
      </c>
      <c r="T402" s="21">
        <f t="shared" si="123"/>
        <v>1</v>
      </c>
      <c r="U402" s="21">
        <f t="shared" si="124"/>
        <v>1</v>
      </c>
      <c r="V402" s="21">
        <f t="shared" si="125"/>
        <v>1</v>
      </c>
    </row>
    <row r="403" spans="1:22" x14ac:dyDescent="0.25">
      <c r="A403">
        <f>Tabelle2!A419</f>
        <v>0</v>
      </c>
      <c r="B403">
        <f>Tabelle2!$N419+(B$11*Tabelle2!$O419)</f>
        <v>0</v>
      </c>
      <c r="C403">
        <f>Tabelle2!$N419+(C$11*Tabelle2!$O419)</f>
        <v>0</v>
      </c>
      <c r="D403">
        <f>Tabelle2!$N419+(D$11*Tabelle2!$O419)</f>
        <v>0</v>
      </c>
      <c r="E403" s="21">
        <f t="shared" si="108"/>
        <v>1</v>
      </c>
      <c r="F403" s="21">
        <f t="shared" si="109"/>
        <v>1</v>
      </c>
      <c r="G403" s="21">
        <f t="shared" si="110"/>
        <v>1</v>
      </c>
      <c r="H403" s="21">
        <f t="shared" si="111"/>
        <v>1</v>
      </c>
      <c r="I403" s="21">
        <f t="shared" si="112"/>
        <v>1</v>
      </c>
      <c r="J403" s="21">
        <f t="shared" si="113"/>
        <v>1</v>
      </c>
      <c r="K403" s="21">
        <f t="shared" si="114"/>
        <v>1</v>
      </c>
      <c r="L403" s="21">
        <f t="shared" si="115"/>
        <v>1</v>
      </c>
      <c r="M403" s="21">
        <f t="shared" si="116"/>
        <v>1</v>
      </c>
      <c r="N403" s="21">
        <f t="shared" si="117"/>
        <v>1</v>
      </c>
      <c r="O403" s="21">
        <f t="shared" si="118"/>
        <v>1</v>
      </c>
      <c r="P403" s="21">
        <f t="shared" si="119"/>
        <v>1</v>
      </c>
      <c r="Q403" s="21">
        <f t="shared" si="120"/>
        <v>1</v>
      </c>
      <c r="R403" s="21">
        <f t="shared" si="121"/>
        <v>1</v>
      </c>
      <c r="S403" s="21">
        <f t="shared" si="122"/>
        <v>1</v>
      </c>
      <c r="T403" s="21">
        <f t="shared" si="123"/>
        <v>1</v>
      </c>
      <c r="U403" s="21">
        <f t="shared" si="124"/>
        <v>1</v>
      </c>
      <c r="V403" s="21">
        <f t="shared" si="125"/>
        <v>1</v>
      </c>
    </row>
    <row r="404" spans="1:22" x14ac:dyDescent="0.25">
      <c r="A404">
        <f>Tabelle2!A420</f>
        <v>0</v>
      </c>
      <c r="B404">
        <f>Tabelle2!$N420+(B$11*Tabelle2!$O420)</f>
        <v>0</v>
      </c>
      <c r="C404">
        <f>Tabelle2!$N420+(C$11*Tabelle2!$O420)</f>
        <v>0</v>
      </c>
      <c r="D404">
        <f>Tabelle2!$N420+(D$11*Tabelle2!$O420)</f>
        <v>0</v>
      </c>
      <c r="E404" s="21">
        <f t="shared" si="108"/>
        <v>1</v>
      </c>
      <c r="F404" s="21">
        <f t="shared" si="109"/>
        <v>1</v>
      </c>
      <c r="G404" s="21">
        <f t="shared" si="110"/>
        <v>1</v>
      </c>
      <c r="H404" s="21">
        <f t="shared" si="111"/>
        <v>1</v>
      </c>
      <c r="I404" s="21">
        <f t="shared" si="112"/>
        <v>1</v>
      </c>
      <c r="J404" s="21">
        <f t="shared" si="113"/>
        <v>1</v>
      </c>
      <c r="K404" s="21">
        <f t="shared" si="114"/>
        <v>1</v>
      </c>
      <c r="L404" s="21">
        <f t="shared" si="115"/>
        <v>1</v>
      </c>
      <c r="M404" s="21">
        <f t="shared" si="116"/>
        <v>1</v>
      </c>
      <c r="N404" s="21">
        <f t="shared" si="117"/>
        <v>1</v>
      </c>
      <c r="O404" s="21">
        <f t="shared" si="118"/>
        <v>1</v>
      </c>
      <c r="P404" s="21">
        <f t="shared" si="119"/>
        <v>1</v>
      </c>
      <c r="Q404" s="21">
        <f t="shared" si="120"/>
        <v>1</v>
      </c>
      <c r="R404" s="21">
        <f t="shared" si="121"/>
        <v>1</v>
      </c>
      <c r="S404" s="21">
        <f t="shared" si="122"/>
        <v>1</v>
      </c>
      <c r="T404" s="21">
        <f t="shared" si="123"/>
        <v>1</v>
      </c>
      <c r="U404" s="21">
        <f t="shared" si="124"/>
        <v>1</v>
      </c>
      <c r="V404" s="21">
        <f t="shared" si="125"/>
        <v>1</v>
      </c>
    </row>
    <row r="405" spans="1:22" x14ac:dyDescent="0.25">
      <c r="A405">
        <f>Tabelle2!A421</f>
        <v>0</v>
      </c>
      <c r="B405">
        <f>Tabelle2!$N421+(B$11*Tabelle2!$O421)</f>
        <v>0</v>
      </c>
      <c r="C405">
        <f>Tabelle2!$N421+(C$11*Tabelle2!$O421)</f>
        <v>0</v>
      </c>
      <c r="D405">
        <f>Tabelle2!$N421+(D$11*Tabelle2!$O421)</f>
        <v>0</v>
      </c>
      <c r="E405" s="21">
        <f t="shared" si="108"/>
        <v>1</v>
      </c>
      <c r="F405" s="21">
        <f t="shared" si="109"/>
        <v>1</v>
      </c>
      <c r="G405" s="21">
        <f t="shared" si="110"/>
        <v>1</v>
      </c>
      <c r="H405" s="21">
        <f t="shared" si="111"/>
        <v>1</v>
      </c>
      <c r="I405" s="21">
        <f t="shared" si="112"/>
        <v>1</v>
      </c>
      <c r="J405" s="21">
        <f t="shared" si="113"/>
        <v>1</v>
      </c>
      <c r="K405" s="21">
        <f t="shared" si="114"/>
        <v>1</v>
      </c>
      <c r="L405" s="21">
        <f t="shared" si="115"/>
        <v>1</v>
      </c>
      <c r="M405" s="21">
        <f t="shared" si="116"/>
        <v>1</v>
      </c>
      <c r="N405" s="21">
        <f t="shared" si="117"/>
        <v>1</v>
      </c>
      <c r="O405" s="21">
        <f t="shared" si="118"/>
        <v>1</v>
      </c>
      <c r="P405" s="21">
        <f t="shared" si="119"/>
        <v>1</v>
      </c>
      <c r="Q405" s="21">
        <f t="shared" si="120"/>
        <v>1</v>
      </c>
      <c r="R405" s="21">
        <f t="shared" si="121"/>
        <v>1</v>
      </c>
      <c r="S405" s="21">
        <f t="shared" si="122"/>
        <v>1</v>
      </c>
      <c r="T405" s="21">
        <f t="shared" si="123"/>
        <v>1</v>
      </c>
      <c r="U405" s="21">
        <f t="shared" si="124"/>
        <v>1</v>
      </c>
      <c r="V405" s="21">
        <f t="shared" si="125"/>
        <v>1</v>
      </c>
    </row>
    <row r="406" spans="1:22" x14ac:dyDescent="0.25">
      <c r="A406">
        <f>Tabelle2!A422</f>
        <v>0</v>
      </c>
      <c r="B406">
        <f>Tabelle2!$N422+(B$11*Tabelle2!$O422)</f>
        <v>0</v>
      </c>
      <c r="C406">
        <f>Tabelle2!$N422+(C$11*Tabelle2!$O422)</f>
        <v>0</v>
      </c>
      <c r="D406">
        <f>Tabelle2!$N422+(D$11*Tabelle2!$O422)</f>
        <v>0</v>
      </c>
      <c r="E406" s="21">
        <f t="shared" si="108"/>
        <v>1</v>
      </c>
      <c r="F406" s="21">
        <f t="shared" si="109"/>
        <v>1</v>
      </c>
      <c r="G406" s="21">
        <f t="shared" si="110"/>
        <v>1</v>
      </c>
      <c r="H406" s="21">
        <f t="shared" si="111"/>
        <v>1</v>
      </c>
      <c r="I406" s="21">
        <f t="shared" si="112"/>
        <v>1</v>
      </c>
      <c r="J406" s="21">
        <f t="shared" si="113"/>
        <v>1</v>
      </c>
      <c r="K406" s="21">
        <f t="shared" si="114"/>
        <v>1</v>
      </c>
      <c r="L406" s="21">
        <f t="shared" si="115"/>
        <v>1</v>
      </c>
      <c r="M406" s="21">
        <f t="shared" si="116"/>
        <v>1</v>
      </c>
      <c r="N406" s="21">
        <f t="shared" si="117"/>
        <v>1</v>
      </c>
      <c r="O406" s="21">
        <f t="shared" si="118"/>
        <v>1</v>
      </c>
      <c r="P406" s="21">
        <f t="shared" si="119"/>
        <v>1</v>
      </c>
      <c r="Q406" s="21">
        <f t="shared" si="120"/>
        <v>1</v>
      </c>
      <c r="R406" s="21">
        <f t="shared" si="121"/>
        <v>1</v>
      </c>
      <c r="S406" s="21">
        <f t="shared" si="122"/>
        <v>1</v>
      </c>
      <c r="T406" s="21">
        <f t="shared" si="123"/>
        <v>1</v>
      </c>
      <c r="U406" s="21">
        <f t="shared" si="124"/>
        <v>1</v>
      </c>
      <c r="V406" s="21">
        <f t="shared" si="125"/>
        <v>1</v>
      </c>
    </row>
    <row r="407" spans="1:22" x14ac:dyDescent="0.25">
      <c r="A407">
        <f>Tabelle2!A423</f>
        <v>0</v>
      </c>
      <c r="B407">
        <f>Tabelle2!$N423+(B$11*Tabelle2!$O423)</f>
        <v>0</v>
      </c>
      <c r="C407">
        <f>Tabelle2!$N423+(C$11*Tabelle2!$O423)</f>
        <v>0</v>
      </c>
      <c r="D407">
        <f>Tabelle2!$N423+(D$11*Tabelle2!$O423)</f>
        <v>0</v>
      </c>
      <c r="E407" s="21">
        <f t="shared" si="108"/>
        <v>1</v>
      </c>
      <c r="F407" s="21">
        <f t="shared" si="109"/>
        <v>1</v>
      </c>
      <c r="G407" s="21">
        <f t="shared" si="110"/>
        <v>1</v>
      </c>
      <c r="H407" s="21">
        <f t="shared" si="111"/>
        <v>1</v>
      </c>
      <c r="I407" s="21">
        <f t="shared" si="112"/>
        <v>1</v>
      </c>
      <c r="J407" s="21">
        <f t="shared" si="113"/>
        <v>1</v>
      </c>
      <c r="K407" s="21">
        <f t="shared" si="114"/>
        <v>1</v>
      </c>
      <c r="L407" s="21">
        <f t="shared" si="115"/>
        <v>1</v>
      </c>
      <c r="M407" s="21">
        <f t="shared" si="116"/>
        <v>1</v>
      </c>
      <c r="N407" s="21">
        <f t="shared" si="117"/>
        <v>1</v>
      </c>
      <c r="O407" s="21">
        <f t="shared" si="118"/>
        <v>1</v>
      </c>
      <c r="P407" s="21">
        <f t="shared" si="119"/>
        <v>1</v>
      </c>
      <c r="Q407" s="21">
        <f t="shared" si="120"/>
        <v>1</v>
      </c>
      <c r="R407" s="21">
        <f t="shared" si="121"/>
        <v>1</v>
      </c>
      <c r="S407" s="21">
        <f t="shared" si="122"/>
        <v>1</v>
      </c>
      <c r="T407" s="21">
        <f t="shared" si="123"/>
        <v>1</v>
      </c>
      <c r="U407" s="21">
        <f t="shared" si="124"/>
        <v>1</v>
      </c>
      <c r="V407" s="21">
        <f t="shared" si="125"/>
        <v>1</v>
      </c>
    </row>
    <row r="408" spans="1:22" x14ac:dyDescent="0.25">
      <c r="A408">
        <f>Tabelle2!A424</f>
        <v>0</v>
      </c>
      <c r="B408">
        <f>Tabelle2!$N424+(B$11*Tabelle2!$O424)</f>
        <v>0</v>
      </c>
      <c r="C408">
        <f>Tabelle2!$N424+(C$11*Tabelle2!$O424)</f>
        <v>0</v>
      </c>
      <c r="D408">
        <f>Tabelle2!$N424+(D$11*Tabelle2!$O424)</f>
        <v>0</v>
      </c>
      <c r="E408" s="21">
        <f t="shared" si="108"/>
        <v>1</v>
      </c>
      <c r="F408" s="21">
        <f t="shared" si="109"/>
        <v>1</v>
      </c>
      <c r="G408" s="21">
        <f t="shared" si="110"/>
        <v>1</v>
      </c>
      <c r="H408" s="21">
        <f t="shared" si="111"/>
        <v>1</v>
      </c>
      <c r="I408" s="21">
        <f t="shared" si="112"/>
        <v>1</v>
      </c>
      <c r="J408" s="21">
        <f t="shared" si="113"/>
        <v>1</v>
      </c>
      <c r="K408" s="21">
        <f t="shared" si="114"/>
        <v>1</v>
      </c>
      <c r="L408" s="21">
        <f t="shared" si="115"/>
        <v>1</v>
      </c>
      <c r="M408" s="21">
        <f t="shared" si="116"/>
        <v>1</v>
      </c>
      <c r="N408" s="21">
        <f t="shared" si="117"/>
        <v>1</v>
      </c>
      <c r="O408" s="21">
        <f t="shared" si="118"/>
        <v>1</v>
      </c>
      <c r="P408" s="21">
        <f t="shared" si="119"/>
        <v>1</v>
      </c>
      <c r="Q408" s="21">
        <f t="shared" si="120"/>
        <v>1</v>
      </c>
      <c r="R408" s="21">
        <f t="shared" si="121"/>
        <v>1</v>
      </c>
      <c r="S408" s="21">
        <f t="shared" si="122"/>
        <v>1</v>
      </c>
      <c r="T408" s="21">
        <f t="shared" si="123"/>
        <v>1</v>
      </c>
      <c r="U408" s="21">
        <f t="shared" si="124"/>
        <v>1</v>
      </c>
      <c r="V408" s="21">
        <f t="shared" si="125"/>
        <v>1</v>
      </c>
    </row>
    <row r="409" spans="1:22" x14ac:dyDescent="0.25">
      <c r="A409">
        <f>Tabelle2!A425</f>
        <v>0</v>
      </c>
      <c r="B409">
        <f>Tabelle2!$N425+(B$11*Tabelle2!$O425)</f>
        <v>0</v>
      </c>
      <c r="C409">
        <f>Tabelle2!$N425+(C$11*Tabelle2!$O425)</f>
        <v>0</v>
      </c>
      <c r="D409">
        <f>Tabelle2!$N425+(D$11*Tabelle2!$O425)</f>
        <v>0</v>
      </c>
      <c r="E409" s="21">
        <f t="shared" si="108"/>
        <v>1</v>
      </c>
      <c r="F409" s="21">
        <f t="shared" si="109"/>
        <v>1</v>
      </c>
      <c r="G409" s="21">
        <f t="shared" si="110"/>
        <v>1</v>
      </c>
      <c r="H409" s="21">
        <f t="shared" si="111"/>
        <v>1</v>
      </c>
      <c r="I409" s="21">
        <f t="shared" si="112"/>
        <v>1</v>
      </c>
      <c r="J409" s="21">
        <f t="shared" si="113"/>
        <v>1</v>
      </c>
      <c r="K409" s="21">
        <f t="shared" si="114"/>
        <v>1</v>
      </c>
      <c r="L409" s="21">
        <f t="shared" si="115"/>
        <v>1</v>
      </c>
      <c r="M409" s="21">
        <f t="shared" si="116"/>
        <v>1</v>
      </c>
      <c r="N409" s="21">
        <f t="shared" si="117"/>
        <v>1</v>
      </c>
      <c r="O409" s="21">
        <f t="shared" si="118"/>
        <v>1</v>
      </c>
      <c r="P409" s="21">
        <f t="shared" si="119"/>
        <v>1</v>
      </c>
      <c r="Q409" s="21">
        <f t="shared" si="120"/>
        <v>1</v>
      </c>
      <c r="R409" s="21">
        <f t="shared" si="121"/>
        <v>1</v>
      </c>
      <c r="S409" s="21">
        <f t="shared" si="122"/>
        <v>1</v>
      </c>
      <c r="T409" s="21">
        <f t="shared" si="123"/>
        <v>1</v>
      </c>
      <c r="U409" s="21">
        <f t="shared" si="124"/>
        <v>1</v>
      </c>
      <c r="V409" s="21">
        <f t="shared" si="125"/>
        <v>1</v>
      </c>
    </row>
    <row r="410" spans="1:22" x14ac:dyDescent="0.25">
      <c r="A410">
        <f>Tabelle2!A426</f>
        <v>0</v>
      </c>
      <c r="B410">
        <f>Tabelle2!$N426+(B$11*Tabelle2!$O426)</f>
        <v>0</v>
      </c>
      <c r="C410">
        <f>Tabelle2!$N426+(C$11*Tabelle2!$O426)</f>
        <v>0</v>
      </c>
      <c r="D410">
        <f>Tabelle2!$N426+(D$11*Tabelle2!$O426)</f>
        <v>0</v>
      </c>
      <c r="E410" s="21">
        <f t="shared" si="108"/>
        <v>1</v>
      </c>
      <c r="F410" s="21">
        <f t="shared" si="109"/>
        <v>1</v>
      </c>
      <c r="G410" s="21">
        <f t="shared" si="110"/>
        <v>1</v>
      </c>
      <c r="H410" s="21">
        <f t="shared" si="111"/>
        <v>1</v>
      </c>
      <c r="I410" s="21">
        <f t="shared" si="112"/>
        <v>1</v>
      </c>
      <c r="J410" s="21">
        <f t="shared" si="113"/>
        <v>1</v>
      </c>
      <c r="K410" s="21">
        <f t="shared" si="114"/>
        <v>1</v>
      </c>
      <c r="L410" s="21">
        <f t="shared" si="115"/>
        <v>1</v>
      </c>
      <c r="M410" s="21">
        <f t="shared" si="116"/>
        <v>1</v>
      </c>
      <c r="N410" s="21">
        <f t="shared" si="117"/>
        <v>1</v>
      </c>
      <c r="O410" s="21">
        <f t="shared" si="118"/>
        <v>1</v>
      </c>
      <c r="P410" s="21">
        <f t="shared" si="119"/>
        <v>1</v>
      </c>
      <c r="Q410" s="21">
        <f t="shared" si="120"/>
        <v>1</v>
      </c>
      <c r="R410" s="21">
        <f t="shared" si="121"/>
        <v>1</v>
      </c>
      <c r="S410" s="21">
        <f t="shared" si="122"/>
        <v>1</v>
      </c>
      <c r="T410" s="21">
        <f t="shared" si="123"/>
        <v>1</v>
      </c>
      <c r="U410" s="21">
        <f t="shared" si="124"/>
        <v>1</v>
      </c>
      <c r="V410" s="21">
        <f t="shared" si="125"/>
        <v>1</v>
      </c>
    </row>
    <row r="411" spans="1:22" x14ac:dyDescent="0.25">
      <c r="A411">
        <f>Tabelle2!A427</f>
        <v>0</v>
      </c>
      <c r="B411">
        <f>Tabelle2!$N427+(B$11*Tabelle2!$O427)</f>
        <v>0</v>
      </c>
      <c r="C411">
        <f>Tabelle2!$N427+(C$11*Tabelle2!$O427)</f>
        <v>0</v>
      </c>
      <c r="D411">
        <f>Tabelle2!$N427+(D$11*Tabelle2!$O427)</f>
        <v>0</v>
      </c>
      <c r="E411" s="21">
        <f t="shared" si="108"/>
        <v>1</v>
      </c>
      <c r="F411" s="21">
        <f t="shared" si="109"/>
        <v>1</v>
      </c>
      <c r="G411" s="21">
        <f t="shared" si="110"/>
        <v>1</v>
      </c>
      <c r="H411" s="21">
        <f t="shared" si="111"/>
        <v>1</v>
      </c>
      <c r="I411" s="21">
        <f t="shared" si="112"/>
        <v>1</v>
      </c>
      <c r="J411" s="21">
        <f t="shared" si="113"/>
        <v>1</v>
      </c>
      <c r="K411" s="21">
        <f t="shared" si="114"/>
        <v>1</v>
      </c>
      <c r="L411" s="21">
        <f t="shared" si="115"/>
        <v>1</v>
      </c>
      <c r="M411" s="21">
        <f t="shared" si="116"/>
        <v>1</v>
      </c>
      <c r="N411" s="21">
        <f t="shared" si="117"/>
        <v>1</v>
      </c>
      <c r="O411" s="21">
        <f t="shared" si="118"/>
        <v>1</v>
      </c>
      <c r="P411" s="21">
        <f t="shared" si="119"/>
        <v>1</v>
      </c>
      <c r="Q411" s="21">
        <f t="shared" si="120"/>
        <v>1</v>
      </c>
      <c r="R411" s="21">
        <f t="shared" si="121"/>
        <v>1</v>
      </c>
      <c r="S411" s="21">
        <f t="shared" si="122"/>
        <v>1</v>
      </c>
      <c r="T411" s="21">
        <f t="shared" si="123"/>
        <v>1</v>
      </c>
      <c r="U411" s="21">
        <f t="shared" si="124"/>
        <v>1</v>
      </c>
      <c r="V411" s="21">
        <f t="shared" si="125"/>
        <v>1</v>
      </c>
    </row>
    <row r="412" spans="1:22" x14ac:dyDescent="0.25">
      <c r="A412">
        <f>Tabelle2!A428</f>
        <v>0</v>
      </c>
      <c r="B412">
        <f>Tabelle2!$N428+(B$11*Tabelle2!$O428)</f>
        <v>0</v>
      </c>
      <c r="C412">
        <f>Tabelle2!$N428+(C$11*Tabelle2!$O428)</f>
        <v>0</v>
      </c>
      <c r="D412">
        <f>Tabelle2!$N428+(D$11*Tabelle2!$O428)</f>
        <v>0</v>
      </c>
      <c r="E412" s="21">
        <f t="shared" si="108"/>
        <v>1</v>
      </c>
      <c r="F412" s="21">
        <f t="shared" si="109"/>
        <v>1</v>
      </c>
      <c r="G412" s="21">
        <f t="shared" si="110"/>
        <v>1</v>
      </c>
      <c r="H412" s="21">
        <f t="shared" si="111"/>
        <v>1</v>
      </c>
      <c r="I412" s="21">
        <f t="shared" si="112"/>
        <v>1</v>
      </c>
      <c r="J412" s="21">
        <f t="shared" si="113"/>
        <v>1</v>
      </c>
      <c r="K412" s="21">
        <f t="shared" si="114"/>
        <v>1</v>
      </c>
      <c r="L412" s="21">
        <f t="shared" si="115"/>
        <v>1</v>
      </c>
      <c r="M412" s="21">
        <f t="shared" si="116"/>
        <v>1</v>
      </c>
      <c r="N412" s="21">
        <f t="shared" si="117"/>
        <v>1</v>
      </c>
      <c r="O412" s="21">
        <f t="shared" si="118"/>
        <v>1</v>
      </c>
      <c r="P412" s="21">
        <f t="shared" si="119"/>
        <v>1</v>
      </c>
      <c r="Q412" s="21">
        <f t="shared" si="120"/>
        <v>1</v>
      </c>
      <c r="R412" s="21">
        <f t="shared" si="121"/>
        <v>1</v>
      </c>
      <c r="S412" s="21">
        <f t="shared" si="122"/>
        <v>1</v>
      </c>
      <c r="T412" s="21">
        <f t="shared" si="123"/>
        <v>1</v>
      </c>
      <c r="U412" s="21">
        <f t="shared" si="124"/>
        <v>1</v>
      </c>
      <c r="V412" s="21">
        <f t="shared" si="125"/>
        <v>1</v>
      </c>
    </row>
    <row r="413" spans="1:22" x14ac:dyDescent="0.25">
      <c r="A413">
        <f>Tabelle2!A429</f>
        <v>0</v>
      </c>
      <c r="B413">
        <f>Tabelle2!$N429+(B$11*Tabelle2!$O429)</f>
        <v>0</v>
      </c>
      <c r="C413">
        <f>Tabelle2!$N429+(C$11*Tabelle2!$O429)</f>
        <v>0</v>
      </c>
      <c r="D413">
        <f>Tabelle2!$N429+(D$11*Tabelle2!$O429)</f>
        <v>0</v>
      </c>
      <c r="E413" s="21">
        <f t="shared" si="108"/>
        <v>1</v>
      </c>
      <c r="F413" s="21">
        <f t="shared" si="109"/>
        <v>1</v>
      </c>
      <c r="G413" s="21">
        <f t="shared" si="110"/>
        <v>1</v>
      </c>
      <c r="H413" s="21">
        <f t="shared" si="111"/>
        <v>1</v>
      </c>
      <c r="I413" s="21">
        <f t="shared" si="112"/>
        <v>1</v>
      </c>
      <c r="J413" s="21">
        <f t="shared" si="113"/>
        <v>1</v>
      </c>
      <c r="K413" s="21">
        <f t="shared" si="114"/>
        <v>1</v>
      </c>
      <c r="L413" s="21">
        <f t="shared" si="115"/>
        <v>1</v>
      </c>
      <c r="M413" s="21">
        <f t="shared" si="116"/>
        <v>1</v>
      </c>
      <c r="N413" s="21">
        <f t="shared" si="117"/>
        <v>1</v>
      </c>
      <c r="O413" s="21">
        <f t="shared" si="118"/>
        <v>1</v>
      </c>
      <c r="P413" s="21">
        <f t="shared" si="119"/>
        <v>1</v>
      </c>
      <c r="Q413" s="21">
        <f t="shared" si="120"/>
        <v>1</v>
      </c>
      <c r="R413" s="21">
        <f t="shared" si="121"/>
        <v>1</v>
      </c>
      <c r="S413" s="21">
        <f t="shared" si="122"/>
        <v>1</v>
      </c>
      <c r="T413" s="21">
        <f t="shared" si="123"/>
        <v>1</v>
      </c>
      <c r="U413" s="21">
        <f t="shared" si="124"/>
        <v>1</v>
      </c>
      <c r="V413" s="21">
        <f t="shared" si="125"/>
        <v>1</v>
      </c>
    </row>
    <row r="414" spans="1:22" x14ac:dyDescent="0.25">
      <c r="A414">
        <f>Tabelle2!A430</f>
        <v>0</v>
      </c>
      <c r="B414">
        <f>Tabelle2!$N430+(B$11*Tabelle2!$O430)</f>
        <v>0</v>
      </c>
      <c r="C414">
        <f>Tabelle2!$N430+(C$11*Tabelle2!$O430)</f>
        <v>0</v>
      </c>
      <c r="D414">
        <f>Tabelle2!$N430+(D$11*Tabelle2!$O430)</f>
        <v>0</v>
      </c>
      <c r="E414" s="21">
        <f t="shared" si="108"/>
        <v>1</v>
      </c>
      <c r="F414" s="21">
        <f t="shared" si="109"/>
        <v>1</v>
      </c>
      <c r="G414" s="21">
        <f t="shared" si="110"/>
        <v>1</v>
      </c>
      <c r="H414" s="21">
        <f t="shared" si="111"/>
        <v>1</v>
      </c>
      <c r="I414" s="21">
        <f t="shared" si="112"/>
        <v>1</v>
      </c>
      <c r="J414" s="21">
        <f t="shared" si="113"/>
        <v>1</v>
      </c>
      <c r="K414" s="21">
        <f t="shared" si="114"/>
        <v>1</v>
      </c>
      <c r="L414" s="21">
        <f t="shared" si="115"/>
        <v>1</v>
      </c>
      <c r="M414" s="21">
        <f t="shared" si="116"/>
        <v>1</v>
      </c>
      <c r="N414" s="21">
        <f t="shared" si="117"/>
        <v>1</v>
      </c>
      <c r="O414" s="21">
        <f t="shared" si="118"/>
        <v>1</v>
      </c>
      <c r="P414" s="21">
        <f t="shared" si="119"/>
        <v>1</v>
      </c>
      <c r="Q414" s="21">
        <f t="shared" si="120"/>
        <v>1</v>
      </c>
      <c r="R414" s="21">
        <f t="shared" si="121"/>
        <v>1</v>
      </c>
      <c r="S414" s="21">
        <f t="shared" si="122"/>
        <v>1</v>
      </c>
      <c r="T414" s="21">
        <f t="shared" si="123"/>
        <v>1</v>
      </c>
      <c r="U414" s="21">
        <f t="shared" si="124"/>
        <v>1</v>
      </c>
      <c r="V414" s="21">
        <f t="shared" si="125"/>
        <v>1</v>
      </c>
    </row>
    <row r="415" spans="1:22" x14ac:dyDescent="0.25">
      <c r="A415">
        <f>Tabelle2!A431</f>
        <v>0</v>
      </c>
      <c r="B415">
        <f>Tabelle2!$N431+(B$11*Tabelle2!$O431)</f>
        <v>0</v>
      </c>
      <c r="C415">
        <f>Tabelle2!$N431+(C$11*Tabelle2!$O431)</f>
        <v>0</v>
      </c>
      <c r="D415">
        <f>Tabelle2!$N431+(D$11*Tabelle2!$O431)</f>
        <v>0</v>
      </c>
      <c r="E415" s="21">
        <f t="shared" si="108"/>
        <v>1</v>
      </c>
      <c r="F415" s="21">
        <f t="shared" si="109"/>
        <v>1</v>
      </c>
      <c r="G415" s="21">
        <f t="shared" si="110"/>
        <v>1</v>
      </c>
      <c r="H415" s="21">
        <f t="shared" si="111"/>
        <v>1</v>
      </c>
      <c r="I415" s="21">
        <f t="shared" si="112"/>
        <v>1</v>
      </c>
      <c r="J415" s="21">
        <f t="shared" si="113"/>
        <v>1</v>
      </c>
      <c r="K415" s="21">
        <f t="shared" si="114"/>
        <v>1</v>
      </c>
      <c r="L415" s="21">
        <f t="shared" si="115"/>
        <v>1</v>
      </c>
      <c r="M415" s="21">
        <f t="shared" si="116"/>
        <v>1</v>
      </c>
      <c r="N415" s="21">
        <f t="shared" si="117"/>
        <v>1</v>
      </c>
      <c r="O415" s="21">
        <f t="shared" si="118"/>
        <v>1</v>
      </c>
      <c r="P415" s="21">
        <f t="shared" si="119"/>
        <v>1</v>
      </c>
      <c r="Q415" s="21">
        <f t="shared" si="120"/>
        <v>1</v>
      </c>
      <c r="R415" s="21">
        <f t="shared" si="121"/>
        <v>1</v>
      </c>
      <c r="S415" s="21">
        <f t="shared" si="122"/>
        <v>1</v>
      </c>
      <c r="T415" s="21">
        <f t="shared" si="123"/>
        <v>1</v>
      </c>
      <c r="U415" s="21">
        <f t="shared" si="124"/>
        <v>1</v>
      </c>
      <c r="V415" s="21">
        <f t="shared" si="125"/>
        <v>1</v>
      </c>
    </row>
    <row r="416" spans="1:22" x14ac:dyDescent="0.25">
      <c r="A416">
        <f>Tabelle2!A432</f>
        <v>0</v>
      </c>
      <c r="B416">
        <f>Tabelle2!$N432+(B$11*Tabelle2!$O432)</f>
        <v>0</v>
      </c>
      <c r="C416">
        <f>Tabelle2!$N432+(C$11*Tabelle2!$O432)</f>
        <v>0</v>
      </c>
      <c r="D416">
        <f>Tabelle2!$N432+(D$11*Tabelle2!$O432)</f>
        <v>0</v>
      </c>
      <c r="E416" s="21">
        <f t="shared" si="108"/>
        <v>1</v>
      </c>
      <c r="F416" s="21">
        <f t="shared" si="109"/>
        <v>1</v>
      </c>
      <c r="G416" s="21">
        <f t="shared" si="110"/>
        <v>1</v>
      </c>
      <c r="H416" s="21">
        <f t="shared" si="111"/>
        <v>1</v>
      </c>
      <c r="I416" s="21">
        <f t="shared" si="112"/>
        <v>1</v>
      </c>
      <c r="J416" s="21">
        <f t="shared" si="113"/>
        <v>1</v>
      </c>
      <c r="K416" s="21">
        <f t="shared" si="114"/>
        <v>1</v>
      </c>
      <c r="L416" s="21">
        <f t="shared" si="115"/>
        <v>1</v>
      </c>
      <c r="M416" s="21">
        <f t="shared" si="116"/>
        <v>1</v>
      </c>
      <c r="N416" s="21">
        <f t="shared" si="117"/>
        <v>1</v>
      </c>
      <c r="O416" s="21">
        <f t="shared" si="118"/>
        <v>1</v>
      </c>
      <c r="P416" s="21">
        <f t="shared" si="119"/>
        <v>1</v>
      </c>
      <c r="Q416" s="21">
        <f t="shared" si="120"/>
        <v>1</v>
      </c>
      <c r="R416" s="21">
        <f t="shared" si="121"/>
        <v>1</v>
      </c>
      <c r="S416" s="21">
        <f t="shared" si="122"/>
        <v>1</v>
      </c>
      <c r="T416" s="21">
        <f t="shared" si="123"/>
        <v>1</v>
      </c>
      <c r="U416" s="21">
        <f t="shared" si="124"/>
        <v>1</v>
      </c>
      <c r="V416" s="21">
        <f t="shared" si="125"/>
        <v>1</v>
      </c>
    </row>
    <row r="417" spans="1:22" x14ac:dyDescent="0.25">
      <c r="A417">
        <f>Tabelle2!A433</f>
        <v>0</v>
      </c>
      <c r="B417">
        <f>Tabelle2!$N433+(B$11*Tabelle2!$O433)</f>
        <v>0</v>
      </c>
      <c r="C417">
        <f>Tabelle2!$N433+(C$11*Tabelle2!$O433)</f>
        <v>0</v>
      </c>
      <c r="D417">
        <f>Tabelle2!$N433+(D$11*Tabelle2!$O433)</f>
        <v>0</v>
      </c>
      <c r="E417" s="21">
        <f t="shared" si="108"/>
        <v>1</v>
      </c>
      <c r="F417" s="21">
        <f t="shared" si="109"/>
        <v>1</v>
      </c>
      <c r="G417" s="21">
        <f t="shared" si="110"/>
        <v>1</v>
      </c>
      <c r="H417" s="21">
        <f t="shared" si="111"/>
        <v>1</v>
      </c>
      <c r="I417" s="21">
        <f t="shared" si="112"/>
        <v>1</v>
      </c>
      <c r="J417" s="21">
        <f t="shared" si="113"/>
        <v>1</v>
      </c>
      <c r="K417" s="21">
        <f t="shared" si="114"/>
        <v>1</v>
      </c>
      <c r="L417" s="21">
        <f t="shared" si="115"/>
        <v>1</v>
      </c>
      <c r="M417" s="21">
        <f t="shared" si="116"/>
        <v>1</v>
      </c>
      <c r="N417" s="21">
        <f t="shared" si="117"/>
        <v>1</v>
      </c>
      <c r="O417" s="21">
        <f t="shared" si="118"/>
        <v>1</v>
      </c>
      <c r="P417" s="21">
        <f t="shared" si="119"/>
        <v>1</v>
      </c>
      <c r="Q417" s="21">
        <f t="shared" si="120"/>
        <v>1</v>
      </c>
      <c r="R417" s="21">
        <f t="shared" si="121"/>
        <v>1</v>
      </c>
      <c r="S417" s="21">
        <f t="shared" si="122"/>
        <v>1</v>
      </c>
      <c r="T417" s="21">
        <f t="shared" si="123"/>
        <v>1</v>
      </c>
      <c r="U417" s="21">
        <f t="shared" si="124"/>
        <v>1</v>
      </c>
      <c r="V417" s="21">
        <f t="shared" si="125"/>
        <v>1</v>
      </c>
    </row>
    <row r="418" spans="1:22" x14ac:dyDescent="0.25">
      <c r="A418">
        <f>Tabelle2!A434</f>
        <v>0</v>
      </c>
      <c r="B418">
        <f>Tabelle2!$N434+(B$11*Tabelle2!$O434)</f>
        <v>0</v>
      </c>
      <c r="C418">
        <f>Tabelle2!$N434+(C$11*Tabelle2!$O434)</f>
        <v>0</v>
      </c>
      <c r="D418">
        <f>Tabelle2!$N434+(D$11*Tabelle2!$O434)</f>
        <v>0</v>
      </c>
      <c r="E418" s="21">
        <f t="shared" si="108"/>
        <v>1</v>
      </c>
      <c r="F418" s="21">
        <f t="shared" si="109"/>
        <v>1</v>
      </c>
      <c r="G418" s="21">
        <f t="shared" si="110"/>
        <v>1</v>
      </c>
      <c r="H418" s="21">
        <f t="shared" si="111"/>
        <v>1</v>
      </c>
      <c r="I418" s="21">
        <f t="shared" si="112"/>
        <v>1</v>
      </c>
      <c r="J418" s="21">
        <f t="shared" si="113"/>
        <v>1</v>
      </c>
      <c r="K418" s="21">
        <f t="shared" si="114"/>
        <v>1</v>
      </c>
      <c r="L418" s="21">
        <f t="shared" si="115"/>
        <v>1</v>
      </c>
      <c r="M418" s="21">
        <f t="shared" si="116"/>
        <v>1</v>
      </c>
      <c r="N418" s="21">
        <f t="shared" si="117"/>
        <v>1</v>
      </c>
      <c r="O418" s="21">
        <f t="shared" si="118"/>
        <v>1</v>
      </c>
      <c r="P418" s="21">
        <f t="shared" si="119"/>
        <v>1</v>
      </c>
      <c r="Q418" s="21">
        <f t="shared" si="120"/>
        <v>1</v>
      </c>
      <c r="R418" s="21">
        <f t="shared" si="121"/>
        <v>1</v>
      </c>
      <c r="S418" s="21">
        <f t="shared" si="122"/>
        <v>1</v>
      </c>
      <c r="T418" s="21">
        <f t="shared" si="123"/>
        <v>1</v>
      </c>
      <c r="U418" s="21">
        <f t="shared" si="124"/>
        <v>1</v>
      </c>
      <c r="V418" s="21">
        <f t="shared" si="125"/>
        <v>1</v>
      </c>
    </row>
    <row r="419" spans="1:22" x14ac:dyDescent="0.25">
      <c r="A419">
        <f>Tabelle2!A435</f>
        <v>0</v>
      </c>
      <c r="B419">
        <f>Tabelle2!$N435+(B$11*Tabelle2!$O435)</f>
        <v>0</v>
      </c>
      <c r="C419">
        <f>Tabelle2!$N435+(C$11*Tabelle2!$O435)</f>
        <v>0</v>
      </c>
      <c r="D419">
        <f>Tabelle2!$N435+(D$11*Tabelle2!$O435)</f>
        <v>0</v>
      </c>
      <c r="E419" s="21">
        <f t="shared" si="108"/>
        <v>1</v>
      </c>
      <c r="F419" s="21">
        <f t="shared" si="109"/>
        <v>1</v>
      </c>
      <c r="G419" s="21">
        <f t="shared" si="110"/>
        <v>1</v>
      </c>
      <c r="H419" s="21">
        <f t="shared" si="111"/>
        <v>1</v>
      </c>
      <c r="I419" s="21">
        <f t="shared" si="112"/>
        <v>1</v>
      </c>
      <c r="J419" s="21">
        <f t="shared" si="113"/>
        <v>1</v>
      </c>
      <c r="K419" s="21">
        <f t="shared" si="114"/>
        <v>1</v>
      </c>
      <c r="L419" s="21">
        <f t="shared" si="115"/>
        <v>1</v>
      </c>
      <c r="M419" s="21">
        <f t="shared" si="116"/>
        <v>1</v>
      </c>
      <c r="N419" s="21">
        <f t="shared" si="117"/>
        <v>1</v>
      </c>
      <c r="O419" s="21">
        <f t="shared" si="118"/>
        <v>1</v>
      </c>
      <c r="P419" s="21">
        <f t="shared" si="119"/>
        <v>1</v>
      </c>
      <c r="Q419" s="21">
        <f t="shared" si="120"/>
        <v>1</v>
      </c>
      <c r="R419" s="21">
        <f t="shared" si="121"/>
        <v>1</v>
      </c>
      <c r="S419" s="21">
        <f t="shared" si="122"/>
        <v>1</v>
      </c>
      <c r="T419" s="21">
        <f t="shared" si="123"/>
        <v>1</v>
      </c>
      <c r="U419" s="21">
        <f t="shared" si="124"/>
        <v>1</v>
      </c>
      <c r="V419" s="21">
        <f t="shared" si="125"/>
        <v>1</v>
      </c>
    </row>
    <row r="420" spans="1:22" x14ac:dyDescent="0.25">
      <c r="A420">
        <f>Tabelle2!A436</f>
        <v>0</v>
      </c>
      <c r="B420">
        <f>Tabelle2!$N436+(B$11*Tabelle2!$O436)</f>
        <v>0</v>
      </c>
      <c r="C420">
        <f>Tabelle2!$N436+(C$11*Tabelle2!$O436)</f>
        <v>0</v>
      </c>
      <c r="D420">
        <f>Tabelle2!$N436+(D$11*Tabelle2!$O436)</f>
        <v>0</v>
      </c>
      <c r="E420" s="21">
        <f t="shared" si="108"/>
        <v>1</v>
      </c>
      <c r="F420" s="21">
        <f t="shared" si="109"/>
        <v>1</v>
      </c>
      <c r="G420" s="21">
        <f t="shared" si="110"/>
        <v>1</v>
      </c>
      <c r="H420" s="21">
        <f t="shared" si="111"/>
        <v>1</v>
      </c>
      <c r="I420" s="21">
        <f t="shared" si="112"/>
        <v>1</v>
      </c>
      <c r="J420" s="21">
        <f t="shared" si="113"/>
        <v>1</v>
      </c>
      <c r="K420" s="21">
        <f t="shared" si="114"/>
        <v>1</v>
      </c>
      <c r="L420" s="21">
        <f t="shared" si="115"/>
        <v>1</v>
      </c>
      <c r="M420" s="21">
        <f t="shared" si="116"/>
        <v>1</v>
      </c>
      <c r="N420" s="21">
        <f t="shared" si="117"/>
        <v>1</v>
      </c>
      <c r="O420" s="21">
        <f t="shared" si="118"/>
        <v>1</v>
      </c>
      <c r="P420" s="21">
        <f t="shared" si="119"/>
        <v>1</v>
      </c>
      <c r="Q420" s="21">
        <f t="shared" si="120"/>
        <v>1</v>
      </c>
      <c r="R420" s="21">
        <f t="shared" si="121"/>
        <v>1</v>
      </c>
      <c r="S420" s="21">
        <f t="shared" si="122"/>
        <v>1</v>
      </c>
      <c r="T420" s="21">
        <f t="shared" si="123"/>
        <v>1</v>
      </c>
      <c r="U420" s="21">
        <f t="shared" si="124"/>
        <v>1</v>
      </c>
      <c r="V420" s="21">
        <f t="shared" si="125"/>
        <v>1</v>
      </c>
    </row>
    <row r="421" spans="1:22" x14ac:dyDescent="0.25">
      <c r="A421">
        <f>Tabelle2!A437</f>
        <v>0</v>
      </c>
      <c r="B421">
        <f>Tabelle2!$N437+(B$11*Tabelle2!$O437)</f>
        <v>0</v>
      </c>
      <c r="C421">
        <f>Tabelle2!$N437+(C$11*Tabelle2!$O437)</f>
        <v>0</v>
      </c>
      <c r="D421">
        <f>Tabelle2!$N437+(D$11*Tabelle2!$O437)</f>
        <v>0</v>
      </c>
      <c r="E421" s="21">
        <f t="shared" si="108"/>
        <v>1</v>
      </c>
      <c r="F421" s="21">
        <f t="shared" si="109"/>
        <v>1</v>
      </c>
      <c r="G421" s="21">
        <f t="shared" si="110"/>
        <v>1</v>
      </c>
      <c r="H421" s="21">
        <f t="shared" si="111"/>
        <v>1</v>
      </c>
      <c r="I421" s="21">
        <f t="shared" si="112"/>
        <v>1</v>
      </c>
      <c r="J421" s="21">
        <f t="shared" si="113"/>
        <v>1</v>
      </c>
      <c r="K421" s="21">
        <f t="shared" si="114"/>
        <v>1</v>
      </c>
      <c r="L421" s="21">
        <f t="shared" si="115"/>
        <v>1</v>
      </c>
      <c r="M421" s="21">
        <f t="shared" si="116"/>
        <v>1</v>
      </c>
      <c r="N421" s="21">
        <f t="shared" si="117"/>
        <v>1</v>
      </c>
      <c r="O421" s="21">
        <f t="shared" si="118"/>
        <v>1</v>
      </c>
      <c r="P421" s="21">
        <f t="shared" si="119"/>
        <v>1</v>
      </c>
      <c r="Q421" s="21">
        <f t="shared" si="120"/>
        <v>1</v>
      </c>
      <c r="R421" s="21">
        <f t="shared" si="121"/>
        <v>1</v>
      </c>
      <c r="S421" s="21">
        <f t="shared" si="122"/>
        <v>1</v>
      </c>
      <c r="T421" s="21">
        <f t="shared" si="123"/>
        <v>1</v>
      </c>
      <c r="U421" s="21">
        <f t="shared" si="124"/>
        <v>1</v>
      </c>
      <c r="V421" s="21">
        <f t="shared" si="125"/>
        <v>1</v>
      </c>
    </row>
    <row r="422" spans="1:22" x14ac:dyDescent="0.25">
      <c r="A422">
        <f>Tabelle2!A438</f>
        <v>0</v>
      </c>
      <c r="B422">
        <f>Tabelle2!$N438+(B$11*Tabelle2!$O438)</f>
        <v>0</v>
      </c>
      <c r="C422">
        <f>Tabelle2!$N438+(C$11*Tabelle2!$O438)</f>
        <v>0</v>
      </c>
      <c r="D422">
        <f>Tabelle2!$N438+(D$11*Tabelle2!$O438)</f>
        <v>0</v>
      </c>
      <c r="E422" s="21">
        <f t="shared" si="108"/>
        <v>1</v>
      </c>
      <c r="F422" s="21">
        <f t="shared" si="109"/>
        <v>1</v>
      </c>
      <c r="G422" s="21">
        <f t="shared" si="110"/>
        <v>1</v>
      </c>
      <c r="H422" s="21">
        <f t="shared" si="111"/>
        <v>1</v>
      </c>
      <c r="I422" s="21">
        <f t="shared" si="112"/>
        <v>1</v>
      </c>
      <c r="J422" s="21">
        <f t="shared" si="113"/>
        <v>1</v>
      </c>
      <c r="K422" s="21">
        <f t="shared" si="114"/>
        <v>1</v>
      </c>
      <c r="L422" s="21">
        <f t="shared" si="115"/>
        <v>1</v>
      </c>
      <c r="M422" s="21">
        <f t="shared" si="116"/>
        <v>1</v>
      </c>
      <c r="N422" s="21">
        <f t="shared" si="117"/>
        <v>1</v>
      </c>
      <c r="O422" s="21">
        <f t="shared" si="118"/>
        <v>1</v>
      </c>
      <c r="P422" s="21">
        <f t="shared" si="119"/>
        <v>1</v>
      </c>
      <c r="Q422" s="21">
        <f t="shared" si="120"/>
        <v>1</v>
      </c>
      <c r="R422" s="21">
        <f t="shared" si="121"/>
        <v>1</v>
      </c>
      <c r="S422" s="21">
        <f t="shared" si="122"/>
        <v>1</v>
      </c>
      <c r="T422" s="21">
        <f t="shared" si="123"/>
        <v>1</v>
      </c>
      <c r="U422" s="21">
        <f t="shared" si="124"/>
        <v>1</v>
      </c>
      <c r="V422" s="21">
        <f t="shared" si="125"/>
        <v>1</v>
      </c>
    </row>
    <row r="423" spans="1:22" x14ac:dyDescent="0.25">
      <c r="A423">
        <f>Tabelle2!A439</f>
        <v>0</v>
      </c>
      <c r="B423">
        <f>Tabelle2!$N439+(B$11*Tabelle2!$O439)</f>
        <v>0</v>
      </c>
      <c r="C423">
        <f>Tabelle2!$N439+(C$11*Tabelle2!$O439)</f>
        <v>0</v>
      </c>
      <c r="D423">
        <f>Tabelle2!$N439+(D$11*Tabelle2!$O439)</f>
        <v>0</v>
      </c>
      <c r="E423" s="21">
        <f t="shared" si="108"/>
        <v>1</v>
      </c>
      <c r="F423" s="21">
        <f t="shared" si="109"/>
        <v>1</v>
      </c>
      <c r="G423" s="21">
        <f t="shared" si="110"/>
        <v>1</v>
      </c>
      <c r="H423" s="21">
        <f t="shared" si="111"/>
        <v>1</v>
      </c>
      <c r="I423" s="21">
        <f t="shared" si="112"/>
        <v>1</v>
      </c>
      <c r="J423" s="21">
        <f t="shared" si="113"/>
        <v>1</v>
      </c>
      <c r="K423" s="21">
        <f t="shared" si="114"/>
        <v>1</v>
      </c>
      <c r="L423" s="21">
        <f t="shared" si="115"/>
        <v>1</v>
      </c>
      <c r="M423" s="21">
        <f t="shared" si="116"/>
        <v>1</v>
      </c>
      <c r="N423" s="21">
        <f t="shared" si="117"/>
        <v>1</v>
      </c>
      <c r="O423" s="21">
        <f t="shared" si="118"/>
        <v>1</v>
      </c>
      <c r="P423" s="21">
        <f t="shared" si="119"/>
        <v>1</v>
      </c>
      <c r="Q423" s="21">
        <f t="shared" si="120"/>
        <v>1</v>
      </c>
      <c r="R423" s="21">
        <f t="shared" si="121"/>
        <v>1</v>
      </c>
      <c r="S423" s="21">
        <f t="shared" si="122"/>
        <v>1</v>
      </c>
      <c r="T423" s="21">
        <f t="shared" si="123"/>
        <v>1</v>
      </c>
      <c r="U423" s="21">
        <f t="shared" si="124"/>
        <v>1</v>
      </c>
      <c r="V423" s="21">
        <f t="shared" si="125"/>
        <v>1</v>
      </c>
    </row>
    <row r="424" spans="1:22" x14ac:dyDescent="0.25">
      <c r="A424">
        <f>Tabelle2!A440</f>
        <v>0</v>
      </c>
      <c r="B424">
        <f>Tabelle2!$N440+(B$11*Tabelle2!$O440)</f>
        <v>0</v>
      </c>
      <c r="C424">
        <f>Tabelle2!$N440+(C$11*Tabelle2!$O440)</f>
        <v>0</v>
      </c>
      <c r="D424">
        <f>Tabelle2!$N440+(D$11*Tabelle2!$O440)</f>
        <v>0</v>
      </c>
      <c r="E424" s="21">
        <f t="shared" si="108"/>
        <v>1</v>
      </c>
      <c r="F424" s="21">
        <f t="shared" si="109"/>
        <v>1</v>
      </c>
      <c r="G424" s="21">
        <f t="shared" si="110"/>
        <v>1</v>
      </c>
      <c r="H424" s="21">
        <f t="shared" si="111"/>
        <v>1</v>
      </c>
      <c r="I424" s="21">
        <f t="shared" si="112"/>
        <v>1</v>
      </c>
      <c r="J424" s="21">
        <f t="shared" si="113"/>
        <v>1</v>
      </c>
      <c r="K424" s="21">
        <f t="shared" si="114"/>
        <v>1</v>
      </c>
      <c r="L424" s="21">
        <f t="shared" si="115"/>
        <v>1</v>
      </c>
      <c r="M424" s="21">
        <f t="shared" si="116"/>
        <v>1</v>
      </c>
      <c r="N424" s="21">
        <f t="shared" si="117"/>
        <v>1</v>
      </c>
      <c r="O424" s="21">
        <f t="shared" si="118"/>
        <v>1</v>
      </c>
      <c r="P424" s="21">
        <f t="shared" si="119"/>
        <v>1</v>
      </c>
      <c r="Q424" s="21">
        <f t="shared" si="120"/>
        <v>1</v>
      </c>
      <c r="R424" s="21">
        <f t="shared" si="121"/>
        <v>1</v>
      </c>
      <c r="S424" s="21">
        <f t="shared" si="122"/>
        <v>1</v>
      </c>
      <c r="T424" s="21">
        <f t="shared" si="123"/>
        <v>1</v>
      </c>
      <c r="U424" s="21">
        <f t="shared" si="124"/>
        <v>1</v>
      </c>
      <c r="V424" s="21">
        <f t="shared" si="125"/>
        <v>1</v>
      </c>
    </row>
    <row r="425" spans="1:22" x14ac:dyDescent="0.25">
      <c r="A425">
        <f>Tabelle2!A441</f>
        <v>0</v>
      </c>
      <c r="B425">
        <f>Tabelle2!$N441+(B$11*Tabelle2!$O441)</f>
        <v>0</v>
      </c>
      <c r="C425">
        <f>Tabelle2!$N441+(C$11*Tabelle2!$O441)</f>
        <v>0</v>
      </c>
      <c r="D425">
        <f>Tabelle2!$N441+(D$11*Tabelle2!$O441)</f>
        <v>0</v>
      </c>
      <c r="E425" s="21">
        <f t="shared" si="108"/>
        <v>1</v>
      </c>
      <c r="F425" s="21">
        <f t="shared" si="109"/>
        <v>1</v>
      </c>
      <c r="G425" s="21">
        <f t="shared" si="110"/>
        <v>1</v>
      </c>
      <c r="H425" s="21">
        <f t="shared" si="111"/>
        <v>1</v>
      </c>
      <c r="I425" s="21">
        <f t="shared" si="112"/>
        <v>1</v>
      </c>
      <c r="J425" s="21">
        <f t="shared" si="113"/>
        <v>1</v>
      </c>
      <c r="K425" s="21">
        <f t="shared" si="114"/>
        <v>1</v>
      </c>
      <c r="L425" s="21">
        <f t="shared" si="115"/>
        <v>1</v>
      </c>
      <c r="M425" s="21">
        <f t="shared" si="116"/>
        <v>1</v>
      </c>
      <c r="N425" s="21">
        <f t="shared" si="117"/>
        <v>1</v>
      </c>
      <c r="O425" s="21">
        <f t="shared" si="118"/>
        <v>1</v>
      </c>
      <c r="P425" s="21">
        <f t="shared" si="119"/>
        <v>1</v>
      </c>
      <c r="Q425" s="21">
        <f t="shared" si="120"/>
        <v>1</v>
      </c>
      <c r="R425" s="21">
        <f t="shared" si="121"/>
        <v>1</v>
      </c>
      <c r="S425" s="21">
        <f t="shared" si="122"/>
        <v>1</v>
      </c>
      <c r="T425" s="21">
        <f t="shared" si="123"/>
        <v>1</v>
      </c>
      <c r="U425" s="21">
        <f t="shared" si="124"/>
        <v>1</v>
      </c>
      <c r="V425" s="21">
        <f t="shared" si="125"/>
        <v>1</v>
      </c>
    </row>
    <row r="426" spans="1:22" x14ac:dyDescent="0.25">
      <c r="A426">
        <f>Tabelle2!A442</f>
        <v>0</v>
      </c>
      <c r="B426">
        <f>Tabelle2!$N442+(B$11*Tabelle2!$O442)</f>
        <v>0</v>
      </c>
      <c r="C426">
        <f>Tabelle2!$N442+(C$11*Tabelle2!$O442)</f>
        <v>0</v>
      </c>
      <c r="D426">
        <f>Tabelle2!$N442+(D$11*Tabelle2!$O442)</f>
        <v>0</v>
      </c>
      <c r="E426" s="21">
        <f t="shared" si="108"/>
        <v>1</v>
      </c>
      <c r="F426" s="21">
        <f t="shared" si="109"/>
        <v>1</v>
      </c>
      <c r="G426" s="21">
        <f t="shared" si="110"/>
        <v>1</v>
      </c>
      <c r="H426" s="21">
        <f t="shared" si="111"/>
        <v>1</v>
      </c>
      <c r="I426" s="21">
        <f t="shared" si="112"/>
        <v>1</v>
      </c>
      <c r="J426" s="21">
        <f t="shared" si="113"/>
        <v>1</v>
      </c>
      <c r="K426" s="21">
        <f t="shared" si="114"/>
        <v>1</v>
      </c>
      <c r="L426" s="21">
        <f t="shared" si="115"/>
        <v>1</v>
      </c>
      <c r="M426" s="21">
        <f t="shared" si="116"/>
        <v>1</v>
      </c>
      <c r="N426" s="21">
        <f t="shared" si="117"/>
        <v>1</v>
      </c>
      <c r="O426" s="21">
        <f t="shared" si="118"/>
        <v>1</v>
      </c>
      <c r="P426" s="21">
        <f t="shared" si="119"/>
        <v>1</v>
      </c>
      <c r="Q426" s="21">
        <f t="shared" si="120"/>
        <v>1</v>
      </c>
      <c r="R426" s="21">
        <f t="shared" si="121"/>
        <v>1</v>
      </c>
      <c r="S426" s="21">
        <f t="shared" si="122"/>
        <v>1</v>
      </c>
      <c r="T426" s="21">
        <f t="shared" si="123"/>
        <v>1</v>
      </c>
      <c r="U426" s="21">
        <f t="shared" si="124"/>
        <v>1</v>
      </c>
      <c r="V426" s="21">
        <f t="shared" si="125"/>
        <v>1</v>
      </c>
    </row>
    <row r="427" spans="1:22" x14ac:dyDescent="0.25">
      <c r="A427">
        <f>Tabelle2!A443</f>
        <v>0</v>
      </c>
      <c r="B427">
        <f>Tabelle2!$N443+(B$11*Tabelle2!$O443)</f>
        <v>0</v>
      </c>
      <c r="C427">
        <f>Tabelle2!$N443+(C$11*Tabelle2!$O443)</f>
        <v>0</v>
      </c>
      <c r="D427">
        <f>Tabelle2!$N443+(D$11*Tabelle2!$O443)</f>
        <v>0</v>
      </c>
      <c r="E427" s="21">
        <f t="shared" si="108"/>
        <v>1</v>
      </c>
      <c r="F427" s="21">
        <f t="shared" si="109"/>
        <v>1</v>
      </c>
      <c r="G427" s="21">
        <f t="shared" si="110"/>
        <v>1</v>
      </c>
      <c r="H427" s="21">
        <f t="shared" si="111"/>
        <v>1</v>
      </c>
      <c r="I427" s="21">
        <f t="shared" si="112"/>
        <v>1</v>
      </c>
      <c r="J427" s="21">
        <f t="shared" si="113"/>
        <v>1</v>
      </c>
      <c r="K427" s="21">
        <f t="shared" si="114"/>
        <v>1</v>
      </c>
      <c r="L427" s="21">
        <f t="shared" si="115"/>
        <v>1</v>
      </c>
      <c r="M427" s="21">
        <f t="shared" si="116"/>
        <v>1</v>
      </c>
      <c r="N427" s="21">
        <f t="shared" si="117"/>
        <v>1</v>
      </c>
      <c r="O427" s="21">
        <f t="shared" si="118"/>
        <v>1</v>
      </c>
      <c r="P427" s="21">
        <f t="shared" si="119"/>
        <v>1</v>
      </c>
      <c r="Q427" s="21">
        <f t="shared" si="120"/>
        <v>1</v>
      </c>
      <c r="R427" s="21">
        <f t="shared" si="121"/>
        <v>1</v>
      </c>
      <c r="S427" s="21">
        <f t="shared" si="122"/>
        <v>1</v>
      </c>
      <c r="T427" s="21">
        <f t="shared" si="123"/>
        <v>1</v>
      </c>
      <c r="U427" s="21">
        <f t="shared" si="124"/>
        <v>1</v>
      </c>
      <c r="V427" s="21">
        <f t="shared" si="125"/>
        <v>1</v>
      </c>
    </row>
    <row r="428" spans="1:22" x14ac:dyDescent="0.25">
      <c r="A428">
        <f>Tabelle2!A444</f>
        <v>0</v>
      </c>
      <c r="B428">
        <f>Tabelle2!$N444+(B$11*Tabelle2!$O444)</f>
        <v>0</v>
      </c>
      <c r="C428">
        <f>Tabelle2!$N444+(C$11*Tabelle2!$O444)</f>
        <v>0</v>
      </c>
      <c r="D428">
        <f>Tabelle2!$N444+(D$11*Tabelle2!$O444)</f>
        <v>0</v>
      </c>
      <c r="E428" s="21">
        <f t="shared" si="108"/>
        <v>1</v>
      </c>
      <c r="F428" s="21">
        <f t="shared" si="109"/>
        <v>1</v>
      </c>
      <c r="G428" s="21">
        <f t="shared" si="110"/>
        <v>1</v>
      </c>
      <c r="H428" s="21">
        <f t="shared" si="111"/>
        <v>1</v>
      </c>
      <c r="I428" s="21">
        <f t="shared" si="112"/>
        <v>1</v>
      </c>
      <c r="J428" s="21">
        <f t="shared" si="113"/>
        <v>1</v>
      </c>
      <c r="K428" s="21">
        <f t="shared" si="114"/>
        <v>1</v>
      </c>
      <c r="L428" s="21">
        <f t="shared" si="115"/>
        <v>1</v>
      </c>
      <c r="M428" s="21">
        <f t="shared" si="116"/>
        <v>1</v>
      </c>
      <c r="N428" s="21">
        <f t="shared" si="117"/>
        <v>1</v>
      </c>
      <c r="O428" s="21">
        <f t="shared" si="118"/>
        <v>1</v>
      </c>
      <c r="P428" s="21">
        <f t="shared" si="119"/>
        <v>1</v>
      </c>
      <c r="Q428" s="21">
        <f t="shared" si="120"/>
        <v>1</v>
      </c>
      <c r="R428" s="21">
        <f t="shared" si="121"/>
        <v>1</v>
      </c>
      <c r="S428" s="21">
        <f t="shared" si="122"/>
        <v>1</v>
      </c>
      <c r="T428" s="21">
        <f t="shared" si="123"/>
        <v>1</v>
      </c>
      <c r="U428" s="21">
        <f t="shared" si="124"/>
        <v>1</v>
      </c>
      <c r="V428" s="21">
        <f t="shared" si="125"/>
        <v>1</v>
      </c>
    </row>
    <row r="429" spans="1:22" x14ac:dyDescent="0.25">
      <c r="A429">
        <f>Tabelle2!A445</f>
        <v>0</v>
      </c>
      <c r="B429">
        <f>Tabelle2!$N445+(B$11*Tabelle2!$O445)</f>
        <v>0</v>
      </c>
      <c r="C429">
        <f>Tabelle2!$N445+(C$11*Tabelle2!$O445)</f>
        <v>0</v>
      </c>
      <c r="D429">
        <f>Tabelle2!$N445+(D$11*Tabelle2!$O445)</f>
        <v>0</v>
      </c>
      <c r="E429" s="21">
        <f t="shared" si="108"/>
        <v>1</v>
      </c>
      <c r="F429" s="21">
        <f t="shared" si="109"/>
        <v>1</v>
      </c>
      <c r="G429" s="21">
        <f t="shared" si="110"/>
        <v>1</v>
      </c>
      <c r="H429" s="21">
        <f t="shared" si="111"/>
        <v>1</v>
      </c>
      <c r="I429" s="21">
        <f t="shared" si="112"/>
        <v>1</v>
      </c>
      <c r="J429" s="21">
        <f t="shared" si="113"/>
        <v>1</v>
      </c>
      <c r="K429" s="21">
        <f t="shared" si="114"/>
        <v>1</v>
      </c>
      <c r="L429" s="21">
        <f t="shared" si="115"/>
        <v>1</v>
      </c>
      <c r="M429" s="21">
        <f t="shared" si="116"/>
        <v>1</v>
      </c>
      <c r="N429" s="21">
        <f t="shared" si="117"/>
        <v>1</v>
      </c>
      <c r="O429" s="21">
        <f t="shared" si="118"/>
        <v>1</v>
      </c>
      <c r="P429" s="21">
        <f t="shared" si="119"/>
        <v>1</v>
      </c>
      <c r="Q429" s="21">
        <f t="shared" si="120"/>
        <v>1</v>
      </c>
      <c r="R429" s="21">
        <f t="shared" si="121"/>
        <v>1</v>
      </c>
      <c r="S429" s="21">
        <f t="shared" si="122"/>
        <v>1</v>
      </c>
      <c r="T429" s="21">
        <f t="shared" si="123"/>
        <v>1</v>
      </c>
      <c r="U429" s="21">
        <f t="shared" si="124"/>
        <v>1</v>
      </c>
      <c r="V429" s="21">
        <f t="shared" si="125"/>
        <v>1</v>
      </c>
    </row>
    <row r="430" spans="1:22" x14ac:dyDescent="0.25">
      <c r="A430">
        <f>Tabelle2!A446</f>
        <v>0</v>
      </c>
      <c r="B430">
        <f>Tabelle2!$N446+(B$11*Tabelle2!$O446)</f>
        <v>0</v>
      </c>
      <c r="C430">
        <f>Tabelle2!$N446+(C$11*Tabelle2!$O446)</f>
        <v>0</v>
      </c>
      <c r="D430">
        <f>Tabelle2!$N446+(D$11*Tabelle2!$O446)</f>
        <v>0</v>
      </c>
      <c r="E430" s="21">
        <f t="shared" si="108"/>
        <v>1</v>
      </c>
      <c r="F430" s="21">
        <f t="shared" si="109"/>
        <v>1</v>
      </c>
      <c r="G430" s="21">
        <f t="shared" si="110"/>
        <v>1</v>
      </c>
      <c r="H430" s="21">
        <f t="shared" si="111"/>
        <v>1</v>
      </c>
      <c r="I430" s="21">
        <f t="shared" si="112"/>
        <v>1</v>
      </c>
      <c r="J430" s="21">
        <f t="shared" si="113"/>
        <v>1</v>
      </c>
      <c r="K430" s="21">
        <f t="shared" si="114"/>
        <v>1</v>
      </c>
      <c r="L430" s="21">
        <f t="shared" si="115"/>
        <v>1</v>
      </c>
      <c r="M430" s="21">
        <f t="shared" si="116"/>
        <v>1</v>
      </c>
      <c r="N430" s="21">
        <f t="shared" si="117"/>
        <v>1</v>
      </c>
      <c r="O430" s="21">
        <f t="shared" si="118"/>
        <v>1</v>
      </c>
      <c r="P430" s="21">
        <f t="shared" si="119"/>
        <v>1</v>
      </c>
      <c r="Q430" s="21">
        <f t="shared" si="120"/>
        <v>1</v>
      </c>
      <c r="R430" s="21">
        <f t="shared" si="121"/>
        <v>1</v>
      </c>
      <c r="S430" s="21">
        <f t="shared" si="122"/>
        <v>1</v>
      </c>
      <c r="T430" s="21">
        <f t="shared" si="123"/>
        <v>1</v>
      </c>
      <c r="U430" s="21">
        <f t="shared" si="124"/>
        <v>1</v>
      </c>
      <c r="V430" s="21">
        <f t="shared" si="125"/>
        <v>1</v>
      </c>
    </row>
    <row r="431" spans="1:22" x14ac:dyDescent="0.25">
      <c r="A431">
        <f>Tabelle2!A447</f>
        <v>0</v>
      </c>
      <c r="B431">
        <f>Tabelle2!$N447+(B$11*Tabelle2!$O447)</f>
        <v>0</v>
      </c>
      <c r="C431">
        <f>Tabelle2!$N447+(C$11*Tabelle2!$O447)</f>
        <v>0</v>
      </c>
      <c r="D431">
        <f>Tabelle2!$N447+(D$11*Tabelle2!$O447)</f>
        <v>0</v>
      </c>
      <c r="E431" s="21">
        <f t="shared" si="108"/>
        <v>1</v>
      </c>
      <c r="F431" s="21">
        <f t="shared" si="109"/>
        <v>1</v>
      </c>
      <c r="G431" s="21">
        <f t="shared" si="110"/>
        <v>1</v>
      </c>
      <c r="H431" s="21">
        <f t="shared" si="111"/>
        <v>1</v>
      </c>
      <c r="I431" s="21">
        <f t="shared" si="112"/>
        <v>1</v>
      </c>
      <c r="J431" s="21">
        <f t="shared" si="113"/>
        <v>1</v>
      </c>
      <c r="K431" s="21">
        <f t="shared" si="114"/>
        <v>1</v>
      </c>
      <c r="L431" s="21">
        <f t="shared" si="115"/>
        <v>1</v>
      </c>
      <c r="M431" s="21">
        <f t="shared" si="116"/>
        <v>1</v>
      </c>
      <c r="N431" s="21">
        <f t="shared" si="117"/>
        <v>1</v>
      </c>
      <c r="O431" s="21">
        <f t="shared" si="118"/>
        <v>1</v>
      </c>
      <c r="P431" s="21">
        <f t="shared" si="119"/>
        <v>1</v>
      </c>
      <c r="Q431" s="21">
        <f t="shared" si="120"/>
        <v>1</v>
      </c>
      <c r="R431" s="21">
        <f t="shared" si="121"/>
        <v>1</v>
      </c>
      <c r="S431" s="21">
        <f t="shared" si="122"/>
        <v>1</v>
      </c>
      <c r="T431" s="21">
        <f t="shared" si="123"/>
        <v>1</v>
      </c>
      <c r="U431" s="21">
        <f t="shared" si="124"/>
        <v>1</v>
      </c>
      <c r="V431" s="21">
        <f t="shared" si="125"/>
        <v>1</v>
      </c>
    </row>
    <row r="432" spans="1:22" x14ac:dyDescent="0.25">
      <c r="A432">
        <f>Tabelle2!A448</f>
        <v>0</v>
      </c>
      <c r="B432">
        <f>Tabelle2!$N448+(B$11*Tabelle2!$O448)</f>
        <v>0</v>
      </c>
      <c r="C432">
        <f>Tabelle2!$N448+(C$11*Tabelle2!$O448)</f>
        <v>0</v>
      </c>
      <c r="D432">
        <f>Tabelle2!$N448+(D$11*Tabelle2!$O448)</f>
        <v>0</v>
      </c>
      <c r="E432" s="21">
        <f t="shared" si="108"/>
        <v>1</v>
      </c>
      <c r="F432" s="21">
        <f t="shared" si="109"/>
        <v>1</v>
      </c>
      <c r="G432" s="21">
        <f t="shared" si="110"/>
        <v>1</v>
      </c>
      <c r="H432" s="21">
        <f t="shared" si="111"/>
        <v>1</v>
      </c>
      <c r="I432" s="21">
        <f t="shared" si="112"/>
        <v>1</v>
      </c>
      <c r="J432" s="21">
        <f t="shared" si="113"/>
        <v>1</v>
      </c>
      <c r="K432" s="21">
        <f t="shared" si="114"/>
        <v>1</v>
      </c>
      <c r="L432" s="21">
        <f t="shared" si="115"/>
        <v>1</v>
      </c>
      <c r="M432" s="21">
        <f t="shared" si="116"/>
        <v>1</v>
      </c>
      <c r="N432" s="21">
        <f t="shared" si="117"/>
        <v>1</v>
      </c>
      <c r="O432" s="21">
        <f t="shared" si="118"/>
        <v>1</v>
      </c>
      <c r="P432" s="21">
        <f t="shared" si="119"/>
        <v>1</v>
      </c>
      <c r="Q432" s="21">
        <f t="shared" si="120"/>
        <v>1</v>
      </c>
      <c r="R432" s="21">
        <f t="shared" si="121"/>
        <v>1</v>
      </c>
      <c r="S432" s="21">
        <f t="shared" si="122"/>
        <v>1</v>
      </c>
      <c r="T432" s="21">
        <f t="shared" si="123"/>
        <v>1</v>
      </c>
      <c r="U432" s="21">
        <f t="shared" si="124"/>
        <v>1</v>
      </c>
      <c r="V432" s="21">
        <f t="shared" si="125"/>
        <v>1</v>
      </c>
    </row>
    <row r="433" spans="1:22" x14ac:dyDescent="0.25">
      <c r="A433">
        <f>Tabelle2!A449</f>
        <v>0</v>
      </c>
      <c r="B433">
        <f>Tabelle2!$N449+(B$11*Tabelle2!$O449)</f>
        <v>0</v>
      </c>
      <c r="C433">
        <f>Tabelle2!$N449+(C$11*Tabelle2!$O449)</f>
        <v>0</v>
      </c>
      <c r="D433">
        <f>Tabelle2!$N449+(D$11*Tabelle2!$O449)</f>
        <v>0</v>
      </c>
      <c r="E433" s="21">
        <f t="shared" si="108"/>
        <v>1</v>
      </c>
      <c r="F433" s="21">
        <f t="shared" si="109"/>
        <v>1</v>
      </c>
      <c r="G433" s="21">
        <f t="shared" si="110"/>
        <v>1</v>
      </c>
      <c r="H433" s="21">
        <f t="shared" si="111"/>
        <v>1</v>
      </c>
      <c r="I433" s="21">
        <f t="shared" si="112"/>
        <v>1</v>
      </c>
      <c r="J433" s="21">
        <f t="shared" si="113"/>
        <v>1</v>
      </c>
      <c r="K433" s="21">
        <f t="shared" si="114"/>
        <v>1</v>
      </c>
      <c r="L433" s="21">
        <f t="shared" si="115"/>
        <v>1</v>
      </c>
      <c r="M433" s="21">
        <f t="shared" si="116"/>
        <v>1</v>
      </c>
      <c r="N433" s="21">
        <f t="shared" si="117"/>
        <v>1</v>
      </c>
      <c r="O433" s="21">
        <f t="shared" si="118"/>
        <v>1</v>
      </c>
      <c r="P433" s="21">
        <f t="shared" si="119"/>
        <v>1</v>
      </c>
      <c r="Q433" s="21">
        <f t="shared" si="120"/>
        <v>1</v>
      </c>
      <c r="R433" s="21">
        <f t="shared" si="121"/>
        <v>1</v>
      </c>
      <c r="S433" s="21">
        <f t="shared" si="122"/>
        <v>1</v>
      </c>
      <c r="T433" s="21">
        <f t="shared" si="123"/>
        <v>1</v>
      </c>
      <c r="U433" s="21">
        <f t="shared" si="124"/>
        <v>1</v>
      </c>
      <c r="V433" s="21">
        <f t="shared" si="125"/>
        <v>1</v>
      </c>
    </row>
    <row r="434" spans="1:22" x14ac:dyDescent="0.25">
      <c r="A434">
        <f>Tabelle2!A450</f>
        <v>0</v>
      </c>
      <c r="B434">
        <f>Tabelle2!$N450+(B$11*Tabelle2!$O450)</f>
        <v>0</v>
      </c>
      <c r="C434">
        <f>Tabelle2!$N450+(C$11*Tabelle2!$O450)</f>
        <v>0</v>
      </c>
      <c r="D434">
        <f>Tabelle2!$N450+(D$11*Tabelle2!$O450)</f>
        <v>0</v>
      </c>
      <c r="E434" s="21">
        <f t="shared" si="108"/>
        <v>1</v>
      </c>
      <c r="F434" s="21">
        <f t="shared" si="109"/>
        <v>1</v>
      </c>
      <c r="G434" s="21">
        <f t="shared" si="110"/>
        <v>1</v>
      </c>
      <c r="H434" s="21">
        <f t="shared" si="111"/>
        <v>1</v>
      </c>
      <c r="I434" s="21">
        <f t="shared" si="112"/>
        <v>1</v>
      </c>
      <c r="J434" s="21">
        <f t="shared" si="113"/>
        <v>1</v>
      </c>
      <c r="K434" s="21">
        <f t="shared" si="114"/>
        <v>1</v>
      </c>
      <c r="L434" s="21">
        <f t="shared" si="115"/>
        <v>1</v>
      </c>
      <c r="M434" s="21">
        <f t="shared" si="116"/>
        <v>1</v>
      </c>
      <c r="N434" s="21">
        <f t="shared" si="117"/>
        <v>1</v>
      </c>
      <c r="O434" s="21">
        <f t="shared" si="118"/>
        <v>1</v>
      </c>
      <c r="P434" s="21">
        <f t="shared" si="119"/>
        <v>1</v>
      </c>
      <c r="Q434" s="21">
        <f t="shared" si="120"/>
        <v>1</v>
      </c>
      <c r="R434" s="21">
        <f t="shared" si="121"/>
        <v>1</v>
      </c>
      <c r="S434" s="21">
        <f t="shared" si="122"/>
        <v>1</v>
      </c>
      <c r="T434" s="21">
        <f t="shared" si="123"/>
        <v>1</v>
      </c>
      <c r="U434" s="21">
        <f t="shared" si="124"/>
        <v>1</v>
      </c>
      <c r="V434" s="21">
        <f t="shared" si="125"/>
        <v>1</v>
      </c>
    </row>
    <row r="435" spans="1:22" x14ac:dyDescent="0.25">
      <c r="A435">
        <f>Tabelle2!A451</f>
        <v>0</v>
      </c>
      <c r="B435">
        <f>Tabelle2!$N451+(B$11*Tabelle2!$O451)</f>
        <v>0</v>
      </c>
      <c r="C435">
        <f>Tabelle2!$N451+(C$11*Tabelle2!$O451)</f>
        <v>0</v>
      </c>
      <c r="D435">
        <f>Tabelle2!$N451+(D$11*Tabelle2!$O451)</f>
        <v>0</v>
      </c>
      <c r="E435" s="21">
        <f t="shared" si="108"/>
        <v>1</v>
      </c>
      <c r="F435" s="21">
        <f t="shared" si="109"/>
        <v>1</v>
      </c>
      <c r="G435" s="21">
        <f t="shared" si="110"/>
        <v>1</v>
      </c>
      <c r="H435" s="21">
        <f t="shared" si="111"/>
        <v>1</v>
      </c>
      <c r="I435" s="21">
        <f t="shared" si="112"/>
        <v>1</v>
      </c>
      <c r="J435" s="21">
        <f t="shared" si="113"/>
        <v>1</v>
      </c>
      <c r="K435" s="21">
        <f t="shared" si="114"/>
        <v>1</v>
      </c>
      <c r="L435" s="21">
        <f t="shared" si="115"/>
        <v>1</v>
      </c>
      <c r="M435" s="21">
        <f t="shared" si="116"/>
        <v>1</v>
      </c>
      <c r="N435" s="21">
        <f t="shared" si="117"/>
        <v>1</v>
      </c>
      <c r="O435" s="21">
        <f t="shared" si="118"/>
        <v>1</v>
      </c>
      <c r="P435" s="21">
        <f t="shared" si="119"/>
        <v>1</v>
      </c>
      <c r="Q435" s="21">
        <f t="shared" si="120"/>
        <v>1</v>
      </c>
      <c r="R435" s="21">
        <f t="shared" si="121"/>
        <v>1</v>
      </c>
      <c r="S435" s="21">
        <f t="shared" si="122"/>
        <v>1</v>
      </c>
      <c r="T435" s="21">
        <f t="shared" si="123"/>
        <v>1</v>
      </c>
      <c r="U435" s="21">
        <f t="shared" si="124"/>
        <v>1</v>
      </c>
      <c r="V435" s="21">
        <f t="shared" si="125"/>
        <v>1</v>
      </c>
    </row>
    <row r="436" spans="1:22" x14ac:dyDescent="0.25">
      <c r="A436">
        <f>Tabelle2!A452</f>
        <v>0</v>
      </c>
      <c r="B436">
        <f>Tabelle2!$N452+(B$11*Tabelle2!$O452)</f>
        <v>0</v>
      </c>
      <c r="C436">
        <f>Tabelle2!$N452+(C$11*Tabelle2!$O452)</f>
        <v>0</v>
      </c>
      <c r="D436">
        <f>Tabelle2!$N452+(D$11*Tabelle2!$O452)</f>
        <v>0</v>
      </c>
      <c r="E436" s="21">
        <f t="shared" si="108"/>
        <v>1</v>
      </c>
      <c r="F436" s="21">
        <f t="shared" si="109"/>
        <v>1</v>
      </c>
      <c r="G436" s="21">
        <f t="shared" si="110"/>
        <v>1</v>
      </c>
      <c r="H436" s="21">
        <f t="shared" si="111"/>
        <v>1</v>
      </c>
      <c r="I436" s="21">
        <f t="shared" si="112"/>
        <v>1</v>
      </c>
      <c r="J436" s="21">
        <f t="shared" si="113"/>
        <v>1</v>
      </c>
      <c r="K436" s="21">
        <f t="shared" si="114"/>
        <v>1</v>
      </c>
      <c r="L436" s="21">
        <f t="shared" si="115"/>
        <v>1</v>
      </c>
      <c r="M436" s="21">
        <f t="shared" si="116"/>
        <v>1</v>
      </c>
      <c r="N436" s="21">
        <f t="shared" si="117"/>
        <v>1</v>
      </c>
      <c r="O436" s="21">
        <f t="shared" si="118"/>
        <v>1</v>
      </c>
      <c r="P436" s="21">
        <f t="shared" si="119"/>
        <v>1</v>
      </c>
      <c r="Q436" s="21">
        <f t="shared" si="120"/>
        <v>1</v>
      </c>
      <c r="R436" s="21">
        <f t="shared" si="121"/>
        <v>1</v>
      </c>
      <c r="S436" s="21">
        <f t="shared" si="122"/>
        <v>1</v>
      </c>
      <c r="T436" s="21">
        <f t="shared" si="123"/>
        <v>1</v>
      </c>
      <c r="U436" s="21">
        <f t="shared" si="124"/>
        <v>1</v>
      </c>
      <c r="V436" s="21">
        <f t="shared" si="125"/>
        <v>1</v>
      </c>
    </row>
    <row r="437" spans="1:22" x14ac:dyDescent="0.25">
      <c r="A437">
        <f>Tabelle2!A453</f>
        <v>0</v>
      </c>
      <c r="B437">
        <f>Tabelle2!$N453+(B$11*Tabelle2!$O453)</f>
        <v>0</v>
      </c>
      <c r="C437">
        <f>Tabelle2!$N453+(C$11*Tabelle2!$O453)</f>
        <v>0</v>
      </c>
      <c r="D437">
        <f>Tabelle2!$N453+(D$11*Tabelle2!$O453)</f>
        <v>0</v>
      </c>
      <c r="E437" s="21">
        <f t="shared" si="108"/>
        <v>1</v>
      </c>
      <c r="F437" s="21">
        <f t="shared" si="109"/>
        <v>1</v>
      </c>
      <c r="G437" s="21">
        <f t="shared" si="110"/>
        <v>1</v>
      </c>
      <c r="H437" s="21">
        <f t="shared" si="111"/>
        <v>1</v>
      </c>
      <c r="I437" s="21">
        <f t="shared" si="112"/>
        <v>1</v>
      </c>
      <c r="J437" s="21">
        <f t="shared" si="113"/>
        <v>1</v>
      </c>
      <c r="K437" s="21">
        <f t="shared" si="114"/>
        <v>1</v>
      </c>
      <c r="L437" s="21">
        <f t="shared" si="115"/>
        <v>1</v>
      </c>
      <c r="M437" s="21">
        <f t="shared" si="116"/>
        <v>1</v>
      </c>
      <c r="N437" s="21">
        <f t="shared" si="117"/>
        <v>1</v>
      </c>
      <c r="O437" s="21">
        <f t="shared" si="118"/>
        <v>1</v>
      </c>
      <c r="P437" s="21">
        <f t="shared" si="119"/>
        <v>1</v>
      </c>
      <c r="Q437" s="21">
        <f t="shared" si="120"/>
        <v>1</v>
      </c>
      <c r="R437" s="21">
        <f t="shared" si="121"/>
        <v>1</v>
      </c>
      <c r="S437" s="21">
        <f t="shared" si="122"/>
        <v>1</v>
      </c>
      <c r="T437" s="21">
        <f t="shared" si="123"/>
        <v>1</v>
      </c>
      <c r="U437" s="21">
        <f t="shared" si="124"/>
        <v>1</v>
      </c>
      <c r="V437" s="21">
        <f t="shared" si="125"/>
        <v>1</v>
      </c>
    </row>
    <row r="438" spans="1:22" x14ac:dyDescent="0.25">
      <c r="A438">
        <f>Tabelle2!A454</f>
        <v>0</v>
      </c>
      <c r="B438">
        <f>Tabelle2!$N454+(B$11*Tabelle2!$O454)</f>
        <v>0</v>
      </c>
      <c r="C438">
        <f>Tabelle2!$N454+(C$11*Tabelle2!$O454)</f>
        <v>0</v>
      </c>
      <c r="D438">
        <f>Tabelle2!$N454+(D$11*Tabelle2!$O454)</f>
        <v>0</v>
      </c>
      <c r="E438" s="21">
        <f t="shared" si="108"/>
        <v>1</v>
      </c>
      <c r="F438" s="21">
        <f t="shared" si="109"/>
        <v>1</v>
      </c>
      <c r="G438" s="21">
        <f t="shared" si="110"/>
        <v>1</v>
      </c>
      <c r="H438" s="21">
        <f t="shared" si="111"/>
        <v>1</v>
      </c>
      <c r="I438" s="21">
        <f t="shared" si="112"/>
        <v>1</v>
      </c>
      <c r="J438" s="21">
        <f t="shared" si="113"/>
        <v>1</v>
      </c>
      <c r="K438" s="21">
        <f t="shared" si="114"/>
        <v>1</v>
      </c>
      <c r="L438" s="21">
        <f t="shared" si="115"/>
        <v>1</v>
      </c>
      <c r="M438" s="21">
        <f t="shared" si="116"/>
        <v>1</v>
      </c>
      <c r="N438" s="21">
        <f t="shared" si="117"/>
        <v>1</v>
      </c>
      <c r="O438" s="21">
        <f t="shared" si="118"/>
        <v>1</v>
      </c>
      <c r="P438" s="21">
        <f t="shared" si="119"/>
        <v>1</v>
      </c>
      <c r="Q438" s="21">
        <f t="shared" si="120"/>
        <v>1</v>
      </c>
      <c r="R438" s="21">
        <f t="shared" si="121"/>
        <v>1</v>
      </c>
      <c r="S438" s="21">
        <f t="shared" si="122"/>
        <v>1</v>
      </c>
      <c r="T438" s="21">
        <f t="shared" si="123"/>
        <v>1</v>
      </c>
      <c r="U438" s="21">
        <f t="shared" si="124"/>
        <v>1</v>
      </c>
      <c r="V438" s="21">
        <f t="shared" si="125"/>
        <v>1</v>
      </c>
    </row>
    <row r="439" spans="1:22" x14ac:dyDescent="0.25">
      <c r="A439">
        <f>Tabelle2!A455</f>
        <v>0</v>
      </c>
      <c r="B439">
        <f>Tabelle2!$N455+(B$11*Tabelle2!$O455)</f>
        <v>0</v>
      </c>
      <c r="C439">
        <f>Tabelle2!$N455+(C$11*Tabelle2!$O455)</f>
        <v>0</v>
      </c>
      <c r="D439">
        <f>Tabelle2!$N455+(D$11*Tabelle2!$O455)</f>
        <v>0</v>
      </c>
      <c r="E439" s="21">
        <f t="shared" si="108"/>
        <v>1</v>
      </c>
      <c r="F439" s="21">
        <f t="shared" si="109"/>
        <v>1</v>
      </c>
      <c r="G439" s="21">
        <f t="shared" si="110"/>
        <v>1</v>
      </c>
      <c r="H439" s="21">
        <f t="shared" si="111"/>
        <v>1</v>
      </c>
      <c r="I439" s="21">
        <f t="shared" si="112"/>
        <v>1</v>
      </c>
      <c r="J439" s="21">
        <f t="shared" si="113"/>
        <v>1</v>
      </c>
      <c r="K439" s="21">
        <f t="shared" si="114"/>
        <v>1</v>
      </c>
      <c r="L439" s="21">
        <f t="shared" si="115"/>
        <v>1</v>
      </c>
      <c r="M439" s="21">
        <f t="shared" si="116"/>
        <v>1</v>
      </c>
      <c r="N439" s="21">
        <f t="shared" si="117"/>
        <v>1</v>
      </c>
      <c r="O439" s="21">
        <f t="shared" si="118"/>
        <v>1</v>
      </c>
      <c r="P439" s="21">
        <f t="shared" si="119"/>
        <v>1</v>
      </c>
      <c r="Q439" s="21">
        <f t="shared" si="120"/>
        <v>1</v>
      </c>
      <c r="R439" s="21">
        <f t="shared" si="121"/>
        <v>1</v>
      </c>
      <c r="S439" s="21">
        <f t="shared" si="122"/>
        <v>1</v>
      </c>
      <c r="T439" s="21">
        <f t="shared" si="123"/>
        <v>1</v>
      </c>
      <c r="U439" s="21">
        <f t="shared" si="124"/>
        <v>1</v>
      </c>
      <c r="V439" s="21">
        <f t="shared" si="125"/>
        <v>1</v>
      </c>
    </row>
    <row r="440" spans="1:22" x14ac:dyDescent="0.25">
      <c r="A440">
        <f>Tabelle2!A456</f>
        <v>0</v>
      </c>
      <c r="B440">
        <f>Tabelle2!$N456+(B$11*Tabelle2!$O456)</f>
        <v>0</v>
      </c>
      <c r="C440">
        <f>Tabelle2!$N456+(C$11*Tabelle2!$O456)</f>
        <v>0</v>
      </c>
      <c r="D440">
        <f>Tabelle2!$N456+(D$11*Tabelle2!$O456)</f>
        <v>0</v>
      </c>
      <c r="E440" s="21">
        <f t="shared" si="108"/>
        <v>1</v>
      </c>
      <c r="F440" s="21">
        <f t="shared" si="109"/>
        <v>1</v>
      </c>
      <c r="G440" s="21">
        <f t="shared" si="110"/>
        <v>1</v>
      </c>
      <c r="H440" s="21">
        <f t="shared" si="111"/>
        <v>1</v>
      </c>
      <c r="I440" s="21">
        <f t="shared" si="112"/>
        <v>1</v>
      </c>
      <c r="J440" s="21">
        <f t="shared" si="113"/>
        <v>1</v>
      </c>
      <c r="K440" s="21">
        <f t="shared" si="114"/>
        <v>1</v>
      </c>
      <c r="L440" s="21">
        <f t="shared" si="115"/>
        <v>1</v>
      </c>
      <c r="M440" s="21">
        <f t="shared" si="116"/>
        <v>1</v>
      </c>
      <c r="N440" s="21">
        <f t="shared" si="117"/>
        <v>1</v>
      </c>
      <c r="O440" s="21">
        <f t="shared" si="118"/>
        <v>1</v>
      </c>
      <c r="P440" s="21">
        <f t="shared" si="119"/>
        <v>1</v>
      </c>
      <c r="Q440" s="21">
        <f t="shared" si="120"/>
        <v>1</v>
      </c>
      <c r="R440" s="21">
        <f t="shared" si="121"/>
        <v>1</v>
      </c>
      <c r="S440" s="21">
        <f t="shared" si="122"/>
        <v>1</v>
      </c>
      <c r="T440" s="21">
        <f t="shared" si="123"/>
        <v>1</v>
      </c>
      <c r="U440" s="21">
        <f t="shared" si="124"/>
        <v>1</v>
      </c>
      <c r="V440" s="21">
        <f t="shared" si="125"/>
        <v>1</v>
      </c>
    </row>
    <row r="441" spans="1:22" x14ac:dyDescent="0.25">
      <c r="A441">
        <f>Tabelle2!A457</f>
        <v>0</v>
      </c>
      <c r="B441">
        <f>Tabelle2!$N457+(B$11*Tabelle2!$O457)</f>
        <v>0</v>
      </c>
      <c r="C441">
        <f>Tabelle2!$N457+(C$11*Tabelle2!$O457)</f>
        <v>0</v>
      </c>
      <c r="D441">
        <f>Tabelle2!$N457+(D$11*Tabelle2!$O457)</f>
        <v>0</v>
      </c>
      <c r="E441" s="21">
        <f t="shared" si="108"/>
        <v>1</v>
      </c>
      <c r="F441" s="21">
        <f t="shared" si="109"/>
        <v>1</v>
      </c>
      <c r="G441" s="21">
        <f t="shared" si="110"/>
        <v>1</v>
      </c>
      <c r="H441" s="21">
        <f t="shared" si="111"/>
        <v>1</v>
      </c>
      <c r="I441" s="21">
        <f t="shared" si="112"/>
        <v>1</v>
      </c>
      <c r="J441" s="21">
        <f t="shared" si="113"/>
        <v>1</v>
      </c>
      <c r="K441" s="21">
        <f t="shared" si="114"/>
        <v>1</v>
      </c>
      <c r="L441" s="21">
        <f t="shared" si="115"/>
        <v>1</v>
      </c>
      <c r="M441" s="21">
        <f t="shared" si="116"/>
        <v>1</v>
      </c>
      <c r="N441" s="21">
        <f t="shared" si="117"/>
        <v>1</v>
      </c>
      <c r="O441" s="21">
        <f t="shared" si="118"/>
        <v>1</v>
      </c>
      <c r="P441" s="21">
        <f t="shared" si="119"/>
        <v>1</v>
      </c>
      <c r="Q441" s="21">
        <f t="shared" si="120"/>
        <v>1</v>
      </c>
      <c r="R441" s="21">
        <f t="shared" si="121"/>
        <v>1</v>
      </c>
      <c r="S441" s="21">
        <f t="shared" si="122"/>
        <v>1</v>
      </c>
      <c r="T441" s="21">
        <f t="shared" si="123"/>
        <v>1</v>
      </c>
      <c r="U441" s="21">
        <f t="shared" si="124"/>
        <v>1</v>
      </c>
      <c r="V441" s="21">
        <f t="shared" si="125"/>
        <v>1</v>
      </c>
    </row>
    <row r="442" spans="1:22" x14ac:dyDescent="0.25">
      <c r="A442">
        <f>Tabelle2!A458</f>
        <v>0</v>
      </c>
      <c r="B442">
        <f>Tabelle2!$N458+(B$11*Tabelle2!$O458)</f>
        <v>0</v>
      </c>
      <c r="C442">
        <f>Tabelle2!$N458+(C$11*Tabelle2!$O458)</f>
        <v>0</v>
      </c>
      <c r="D442">
        <f>Tabelle2!$N458+(D$11*Tabelle2!$O458)</f>
        <v>0</v>
      </c>
      <c r="E442" s="21">
        <f t="shared" si="108"/>
        <v>1</v>
      </c>
      <c r="F442" s="21">
        <f t="shared" si="109"/>
        <v>1</v>
      </c>
      <c r="G442" s="21">
        <f t="shared" si="110"/>
        <v>1</v>
      </c>
      <c r="H442" s="21">
        <f t="shared" si="111"/>
        <v>1</v>
      </c>
      <c r="I442" s="21">
        <f t="shared" si="112"/>
        <v>1</v>
      </c>
      <c r="J442" s="21">
        <f t="shared" si="113"/>
        <v>1</v>
      </c>
      <c r="K442" s="21">
        <f t="shared" si="114"/>
        <v>1</v>
      </c>
      <c r="L442" s="21">
        <f t="shared" si="115"/>
        <v>1</v>
      </c>
      <c r="M442" s="21">
        <f t="shared" si="116"/>
        <v>1</v>
      </c>
      <c r="N442" s="21">
        <f t="shared" si="117"/>
        <v>1</v>
      </c>
      <c r="O442" s="21">
        <f t="shared" si="118"/>
        <v>1</v>
      </c>
      <c r="P442" s="21">
        <f t="shared" si="119"/>
        <v>1</v>
      </c>
      <c r="Q442" s="21">
        <f t="shared" si="120"/>
        <v>1</v>
      </c>
      <c r="R442" s="21">
        <f t="shared" si="121"/>
        <v>1</v>
      </c>
      <c r="S442" s="21">
        <f t="shared" si="122"/>
        <v>1</v>
      </c>
      <c r="T442" s="21">
        <f t="shared" si="123"/>
        <v>1</v>
      </c>
      <c r="U442" s="21">
        <f t="shared" si="124"/>
        <v>1</v>
      </c>
      <c r="V442" s="21">
        <f t="shared" si="125"/>
        <v>1</v>
      </c>
    </row>
    <row r="443" spans="1:22" x14ac:dyDescent="0.25">
      <c r="A443">
        <f>Tabelle2!A459</f>
        <v>0</v>
      </c>
      <c r="B443">
        <f>Tabelle2!$N459+(B$11*Tabelle2!$O459)</f>
        <v>0</v>
      </c>
      <c r="C443">
        <f>Tabelle2!$N459+(C$11*Tabelle2!$O459)</f>
        <v>0</v>
      </c>
      <c r="D443">
        <f>Tabelle2!$N459+(D$11*Tabelle2!$O459)</f>
        <v>0</v>
      </c>
      <c r="E443" s="21">
        <f t="shared" si="108"/>
        <v>1</v>
      </c>
      <c r="F443" s="21">
        <f t="shared" si="109"/>
        <v>1</v>
      </c>
      <c r="G443" s="21">
        <f t="shared" si="110"/>
        <v>1</v>
      </c>
      <c r="H443" s="21">
        <f t="shared" si="111"/>
        <v>1</v>
      </c>
      <c r="I443" s="21">
        <f t="shared" si="112"/>
        <v>1</v>
      </c>
      <c r="J443" s="21">
        <f t="shared" si="113"/>
        <v>1</v>
      </c>
      <c r="K443" s="21">
        <f t="shared" si="114"/>
        <v>1</v>
      </c>
      <c r="L443" s="21">
        <f t="shared" si="115"/>
        <v>1</v>
      </c>
      <c r="M443" s="21">
        <f t="shared" si="116"/>
        <v>1</v>
      </c>
      <c r="N443" s="21">
        <f t="shared" si="117"/>
        <v>1</v>
      </c>
      <c r="O443" s="21">
        <f t="shared" si="118"/>
        <v>1</v>
      </c>
      <c r="P443" s="21">
        <f t="shared" si="119"/>
        <v>1</v>
      </c>
      <c r="Q443" s="21">
        <f t="shared" si="120"/>
        <v>1</v>
      </c>
      <c r="R443" s="21">
        <f t="shared" si="121"/>
        <v>1</v>
      </c>
      <c r="S443" s="21">
        <f t="shared" si="122"/>
        <v>1</v>
      </c>
      <c r="T443" s="21">
        <f t="shared" si="123"/>
        <v>1</v>
      </c>
      <c r="U443" s="21">
        <f t="shared" si="124"/>
        <v>1</v>
      </c>
      <c r="V443" s="21">
        <f t="shared" si="125"/>
        <v>1</v>
      </c>
    </row>
    <row r="444" spans="1:22" x14ac:dyDescent="0.25">
      <c r="A444">
        <f>Tabelle2!A460</f>
        <v>0</v>
      </c>
      <c r="B444">
        <f>Tabelle2!$N460+(B$11*Tabelle2!$O460)</f>
        <v>0</v>
      </c>
      <c r="C444">
        <f>Tabelle2!$N460+(C$11*Tabelle2!$O460)</f>
        <v>0</v>
      </c>
      <c r="D444">
        <f>Tabelle2!$N460+(D$11*Tabelle2!$O460)</f>
        <v>0</v>
      </c>
      <c r="E444" s="21">
        <f t="shared" si="108"/>
        <v>1</v>
      </c>
      <c r="F444" s="21">
        <f t="shared" si="109"/>
        <v>1</v>
      </c>
      <c r="G444" s="21">
        <f t="shared" si="110"/>
        <v>1</v>
      </c>
      <c r="H444" s="21">
        <f t="shared" si="111"/>
        <v>1</v>
      </c>
      <c r="I444" s="21">
        <f t="shared" si="112"/>
        <v>1</v>
      </c>
      <c r="J444" s="21">
        <f t="shared" si="113"/>
        <v>1</v>
      </c>
      <c r="K444" s="21">
        <f t="shared" si="114"/>
        <v>1</v>
      </c>
      <c r="L444" s="21">
        <f t="shared" si="115"/>
        <v>1</v>
      </c>
      <c r="M444" s="21">
        <f t="shared" si="116"/>
        <v>1</v>
      </c>
      <c r="N444" s="21">
        <f t="shared" si="117"/>
        <v>1</v>
      </c>
      <c r="O444" s="21">
        <f t="shared" si="118"/>
        <v>1</v>
      </c>
      <c r="P444" s="21">
        <f t="shared" si="119"/>
        <v>1</v>
      </c>
      <c r="Q444" s="21">
        <f t="shared" si="120"/>
        <v>1</v>
      </c>
      <c r="R444" s="21">
        <f t="shared" si="121"/>
        <v>1</v>
      </c>
      <c r="S444" s="21">
        <f t="shared" si="122"/>
        <v>1</v>
      </c>
      <c r="T444" s="21">
        <f t="shared" si="123"/>
        <v>1</v>
      </c>
      <c r="U444" s="21">
        <f t="shared" si="124"/>
        <v>1</v>
      </c>
      <c r="V444" s="21">
        <f t="shared" si="125"/>
        <v>1</v>
      </c>
    </row>
    <row r="445" spans="1:22" x14ac:dyDescent="0.25">
      <c r="A445">
        <f>Tabelle2!A461</f>
        <v>0</v>
      </c>
      <c r="B445">
        <f>Tabelle2!$N461+(B$11*Tabelle2!$O461)</f>
        <v>0</v>
      </c>
      <c r="C445">
        <f>Tabelle2!$N461+(C$11*Tabelle2!$O461)</f>
        <v>0</v>
      </c>
      <c r="D445">
        <f>Tabelle2!$N461+(D$11*Tabelle2!$O461)</f>
        <v>0</v>
      </c>
      <c r="E445" s="21">
        <f t="shared" si="108"/>
        <v>1</v>
      </c>
      <c r="F445" s="21">
        <f t="shared" si="109"/>
        <v>1</v>
      </c>
      <c r="G445" s="21">
        <f t="shared" si="110"/>
        <v>1</v>
      </c>
      <c r="H445" s="21">
        <f t="shared" si="111"/>
        <v>1</v>
      </c>
      <c r="I445" s="21">
        <f t="shared" si="112"/>
        <v>1</v>
      </c>
      <c r="J445" s="21">
        <f t="shared" si="113"/>
        <v>1</v>
      </c>
      <c r="K445" s="21">
        <f t="shared" si="114"/>
        <v>1</v>
      </c>
      <c r="L445" s="21">
        <f t="shared" si="115"/>
        <v>1</v>
      </c>
      <c r="M445" s="21">
        <f t="shared" si="116"/>
        <v>1</v>
      </c>
      <c r="N445" s="21">
        <f t="shared" si="117"/>
        <v>1</v>
      </c>
      <c r="O445" s="21">
        <f t="shared" si="118"/>
        <v>1</v>
      </c>
      <c r="P445" s="21">
        <f t="shared" si="119"/>
        <v>1</v>
      </c>
      <c r="Q445" s="21">
        <f t="shared" si="120"/>
        <v>1</v>
      </c>
      <c r="R445" s="21">
        <f t="shared" si="121"/>
        <v>1</v>
      </c>
      <c r="S445" s="21">
        <f t="shared" si="122"/>
        <v>1</v>
      </c>
      <c r="T445" s="21">
        <f t="shared" si="123"/>
        <v>1</v>
      </c>
      <c r="U445" s="21">
        <f t="shared" si="124"/>
        <v>1</v>
      </c>
      <c r="V445" s="21">
        <f t="shared" si="125"/>
        <v>1</v>
      </c>
    </row>
    <row r="446" spans="1:22" x14ac:dyDescent="0.25">
      <c r="A446">
        <f>Tabelle2!A462</f>
        <v>0</v>
      </c>
      <c r="B446">
        <f>Tabelle2!$N462+(B$11*Tabelle2!$O462)</f>
        <v>0</v>
      </c>
      <c r="C446">
        <f>Tabelle2!$N462+(C$11*Tabelle2!$O462)</f>
        <v>0</v>
      </c>
      <c r="D446">
        <f>Tabelle2!$N462+(D$11*Tabelle2!$O462)</f>
        <v>0</v>
      </c>
      <c r="E446" s="21">
        <f t="shared" si="108"/>
        <v>1</v>
      </c>
      <c r="F446" s="21">
        <f t="shared" si="109"/>
        <v>1</v>
      </c>
      <c r="G446" s="21">
        <f t="shared" si="110"/>
        <v>1</v>
      </c>
      <c r="H446" s="21">
        <f t="shared" si="111"/>
        <v>1</v>
      </c>
      <c r="I446" s="21">
        <f t="shared" si="112"/>
        <v>1</v>
      </c>
      <c r="J446" s="21">
        <f t="shared" si="113"/>
        <v>1</v>
      </c>
      <c r="K446" s="21">
        <f t="shared" si="114"/>
        <v>1</v>
      </c>
      <c r="L446" s="21">
        <f t="shared" si="115"/>
        <v>1</v>
      </c>
      <c r="M446" s="21">
        <f t="shared" si="116"/>
        <v>1</v>
      </c>
      <c r="N446" s="21">
        <f t="shared" si="117"/>
        <v>1</v>
      </c>
      <c r="O446" s="21">
        <f t="shared" si="118"/>
        <v>1</v>
      </c>
      <c r="P446" s="21">
        <f t="shared" si="119"/>
        <v>1</v>
      </c>
      <c r="Q446" s="21">
        <f t="shared" si="120"/>
        <v>1</v>
      </c>
      <c r="R446" s="21">
        <f t="shared" si="121"/>
        <v>1</v>
      </c>
      <c r="S446" s="21">
        <f t="shared" si="122"/>
        <v>1</v>
      </c>
      <c r="T446" s="21">
        <f t="shared" si="123"/>
        <v>1</v>
      </c>
      <c r="U446" s="21">
        <f t="shared" si="124"/>
        <v>1</v>
      </c>
      <c r="V446" s="21">
        <f t="shared" si="125"/>
        <v>1</v>
      </c>
    </row>
    <row r="447" spans="1:22" x14ac:dyDescent="0.25">
      <c r="A447">
        <f>Tabelle2!A463</f>
        <v>0</v>
      </c>
      <c r="B447">
        <f>Tabelle2!$N463+(B$11*Tabelle2!$O463)</f>
        <v>0</v>
      </c>
      <c r="C447">
        <f>Tabelle2!$N463+(C$11*Tabelle2!$O463)</f>
        <v>0</v>
      </c>
      <c r="D447">
        <f>Tabelle2!$N463+(D$11*Tabelle2!$O463)</f>
        <v>0</v>
      </c>
      <c r="E447" s="21">
        <f t="shared" si="108"/>
        <v>1</v>
      </c>
      <c r="F447" s="21">
        <f t="shared" si="109"/>
        <v>1</v>
      </c>
      <c r="G447" s="21">
        <f t="shared" si="110"/>
        <v>1</v>
      </c>
      <c r="H447" s="21">
        <f t="shared" si="111"/>
        <v>1</v>
      </c>
      <c r="I447" s="21">
        <f t="shared" si="112"/>
        <v>1</v>
      </c>
      <c r="J447" s="21">
        <f t="shared" si="113"/>
        <v>1</v>
      </c>
      <c r="K447" s="21">
        <f t="shared" si="114"/>
        <v>1</v>
      </c>
      <c r="L447" s="21">
        <f t="shared" si="115"/>
        <v>1</v>
      </c>
      <c r="M447" s="21">
        <f t="shared" si="116"/>
        <v>1</v>
      </c>
      <c r="N447" s="21">
        <f t="shared" si="117"/>
        <v>1</v>
      </c>
      <c r="O447" s="21">
        <f t="shared" si="118"/>
        <v>1</v>
      </c>
      <c r="P447" s="21">
        <f t="shared" si="119"/>
        <v>1</v>
      </c>
      <c r="Q447" s="21">
        <f t="shared" si="120"/>
        <v>1</v>
      </c>
      <c r="R447" s="21">
        <f t="shared" si="121"/>
        <v>1</v>
      </c>
      <c r="S447" s="21">
        <f t="shared" si="122"/>
        <v>1</v>
      </c>
      <c r="T447" s="21">
        <f t="shared" si="123"/>
        <v>1</v>
      </c>
      <c r="U447" s="21">
        <f t="shared" si="124"/>
        <v>1</v>
      </c>
      <c r="V447" s="21">
        <f t="shared" si="125"/>
        <v>1</v>
      </c>
    </row>
    <row r="448" spans="1:22" x14ac:dyDescent="0.25">
      <c r="A448">
        <f>Tabelle2!A464</f>
        <v>0</v>
      </c>
      <c r="B448">
        <f>Tabelle2!$N464+(B$11*Tabelle2!$O464)</f>
        <v>0</v>
      </c>
      <c r="C448">
        <f>Tabelle2!$N464+(C$11*Tabelle2!$O464)</f>
        <v>0</v>
      </c>
      <c r="D448">
        <f>Tabelle2!$N464+(D$11*Tabelle2!$O464)</f>
        <v>0</v>
      </c>
      <c r="E448" s="21">
        <f t="shared" si="108"/>
        <v>1</v>
      </c>
      <c r="F448" s="21">
        <f t="shared" si="109"/>
        <v>1</v>
      </c>
      <c r="G448" s="21">
        <f t="shared" si="110"/>
        <v>1</v>
      </c>
      <c r="H448" s="21">
        <f t="shared" si="111"/>
        <v>1</v>
      </c>
      <c r="I448" s="21">
        <f t="shared" si="112"/>
        <v>1</v>
      </c>
      <c r="J448" s="21">
        <f t="shared" si="113"/>
        <v>1</v>
      </c>
      <c r="K448" s="21">
        <f t="shared" si="114"/>
        <v>1</v>
      </c>
      <c r="L448" s="21">
        <f t="shared" si="115"/>
        <v>1</v>
      </c>
      <c r="M448" s="21">
        <f t="shared" si="116"/>
        <v>1</v>
      </c>
      <c r="N448" s="21">
        <f t="shared" si="117"/>
        <v>1</v>
      </c>
      <c r="O448" s="21">
        <f t="shared" si="118"/>
        <v>1</v>
      </c>
      <c r="P448" s="21">
        <f t="shared" si="119"/>
        <v>1</v>
      </c>
      <c r="Q448" s="21">
        <f t="shared" si="120"/>
        <v>1</v>
      </c>
      <c r="R448" s="21">
        <f t="shared" si="121"/>
        <v>1</v>
      </c>
      <c r="S448" s="21">
        <f t="shared" si="122"/>
        <v>1</v>
      </c>
      <c r="T448" s="21">
        <f t="shared" si="123"/>
        <v>1</v>
      </c>
      <c r="U448" s="21">
        <f t="shared" si="124"/>
        <v>1</v>
      </c>
      <c r="V448" s="21">
        <f t="shared" si="125"/>
        <v>1</v>
      </c>
    </row>
    <row r="449" spans="1:22" x14ac:dyDescent="0.25">
      <c r="A449">
        <f>Tabelle2!A465</f>
        <v>0</v>
      </c>
      <c r="B449">
        <f>Tabelle2!$N465+(B$11*Tabelle2!$O465)</f>
        <v>0</v>
      </c>
      <c r="C449">
        <f>Tabelle2!$N465+(C$11*Tabelle2!$O465)</f>
        <v>0</v>
      </c>
      <c r="D449">
        <f>Tabelle2!$N465+(D$11*Tabelle2!$O465)</f>
        <v>0</v>
      </c>
      <c r="E449" s="21">
        <f t="shared" si="108"/>
        <v>1</v>
      </c>
      <c r="F449" s="21">
        <f t="shared" si="109"/>
        <v>1</v>
      </c>
      <c r="G449" s="21">
        <f t="shared" si="110"/>
        <v>1</v>
      </c>
      <c r="H449" s="21">
        <f t="shared" si="111"/>
        <v>1</v>
      </c>
      <c r="I449" s="21">
        <f t="shared" si="112"/>
        <v>1</v>
      </c>
      <c r="J449" s="21">
        <f t="shared" si="113"/>
        <v>1</v>
      </c>
      <c r="K449" s="21">
        <f t="shared" si="114"/>
        <v>1</v>
      </c>
      <c r="L449" s="21">
        <f t="shared" si="115"/>
        <v>1</v>
      </c>
      <c r="M449" s="21">
        <f t="shared" si="116"/>
        <v>1</v>
      </c>
      <c r="N449" s="21">
        <f t="shared" si="117"/>
        <v>1</v>
      </c>
      <c r="O449" s="21">
        <f t="shared" si="118"/>
        <v>1</v>
      </c>
      <c r="P449" s="21">
        <f t="shared" si="119"/>
        <v>1</v>
      </c>
      <c r="Q449" s="21">
        <f t="shared" si="120"/>
        <v>1</v>
      </c>
      <c r="R449" s="21">
        <f t="shared" si="121"/>
        <v>1</v>
      </c>
      <c r="S449" s="21">
        <f t="shared" si="122"/>
        <v>1</v>
      </c>
      <c r="T449" s="21">
        <f t="shared" si="123"/>
        <v>1</v>
      </c>
      <c r="U449" s="21">
        <f t="shared" si="124"/>
        <v>1</v>
      </c>
      <c r="V449" s="21">
        <f t="shared" si="125"/>
        <v>1</v>
      </c>
    </row>
    <row r="450" spans="1:22" x14ac:dyDescent="0.25">
      <c r="A450">
        <f>Tabelle2!A466</f>
        <v>0</v>
      </c>
      <c r="B450">
        <f>Tabelle2!$N466+(B$11*Tabelle2!$O466)</f>
        <v>0</v>
      </c>
      <c r="C450">
        <f>Tabelle2!$N466+(C$11*Tabelle2!$O466)</f>
        <v>0</v>
      </c>
      <c r="D450">
        <f>Tabelle2!$N466+(D$11*Tabelle2!$O466)</f>
        <v>0</v>
      </c>
      <c r="E450" s="21">
        <f t="shared" si="108"/>
        <v>1</v>
      </c>
      <c r="F450" s="21">
        <f t="shared" si="109"/>
        <v>1</v>
      </c>
      <c r="G450" s="21">
        <f t="shared" si="110"/>
        <v>1</v>
      </c>
      <c r="H450" s="21">
        <f t="shared" si="111"/>
        <v>1</v>
      </c>
      <c r="I450" s="21">
        <f t="shared" si="112"/>
        <v>1</v>
      </c>
      <c r="J450" s="21">
        <f t="shared" si="113"/>
        <v>1</v>
      </c>
      <c r="K450" s="21">
        <f t="shared" si="114"/>
        <v>1</v>
      </c>
      <c r="L450" s="21">
        <f t="shared" si="115"/>
        <v>1</v>
      </c>
      <c r="M450" s="21">
        <f t="shared" si="116"/>
        <v>1</v>
      </c>
      <c r="N450" s="21">
        <f t="shared" si="117"/>
        <v>1</v>
      </c>
      <c r="O450" s="21">
        <f t="shared" si="118"/>
        <v>1</v>
      </c>
      <c r="P450" s="21">
        <f t="shared" si="119"/>
        <v>1</v>
      </c>
      <c r="Q450" s="21">
        <f t="shared" si="120"/>
        <v>1</v>
      </c>
      <c r="R450" s="21">
        <f t="shared" si="121"/>
        <v>1</v>
      </c>
      <c r="S450" s="21">
        <f t="shared" si="122"/>
        <v>1</v>
      </c>
      <c r="T450" s="21">
        <f t="shared" si="123"/>
        <v>1</v>
      </c>
      <c r="U450" s="21">
        <f t="shared" si="124"/>
        <v>1</v>
      </c>
      <c r="V450" s="21">
        <f t="shared" si="125"/>
        <v>1</v>
      </c>
    </row>
    <row r="451" spans="1:22" x14ac:dyDescent="0.25">
      <c r="A451">
        <f>Tabelle2!A467</f>
        <v>0</v>
      </c>
      <c r="B451">
        <f>Tabelle2!$N467+(B$11*Tabelle2!$O467)</f>
        <v>0</v>
      </c>
      <c r="C451">
        <f>Tabelle2!$N467+(C$11*Tabelle2!$O467)</f>
        <v>0</v>
      </c>
      <c r="D451">
        <f>Tabelle2!$N467+(D$11*Tabelle2!$O467)</f>
        <v>0</v>
      </c>
      <c r="E451" s="21">
        <f t="shared" si="108"/>
        <v>1</v>
      </c>
      <c r="F451" s="21">
        <f t="shared" si="109"/>
        <v>1</v>
      </c>
      <c r="G451" s="21">
        <f t="shared" si="110"/>
        <v>1</v>
      </c>
      <c r="H451" s="21">
        <f t="shared" si="111"/>
        <v>1</v>
      </c>
      <c r="I451" s="21">
        <f t="shared" si="112"/>
        <v>1</v>
      </c>
      <c r="J451" s="21">
        <f t="shared" si="113"/>
        <v>1</v>
      </c>
      <c r="K451" s="21">
        <f t="shared" si="114"/>
        <v>1</v>
      </c>
      <c r="L451" s="21">
        <f t="shared" si="115"/>
        <v>1</v>
      </c>
      <c r="M451" s="21">
        <f t="shared" si="116"/>
        <v>1</v>
      </c>
      <c r="N451" s="21">
        <f t="shared" si="117"/>
        <v>1</v>
      </c>
      <c r="O451" s="21">
        <f t="shared" si="118"/>
        <v>1</v>
      </c>
      <c r="P451" s="21">
        <f t="shared" si="119"/>
        <v>1</v>
      </c>
      <c r="Q451" s="21">
        <f t="shared" si="120"/>
        <v>1</v>
      </c>
      <c r="R451" s="21">
        <f t="shared" si="121"/>
        <v>1</v>
      </c>
      <c r="S451" s="21">
        <f t="shared" si="122"/>
        <v>1</v>
      </c>
      <c r="T451" s="21">
        <f t="shared" si="123"/>
        <v>1</v>
      </c>
      <c r="U451" s="21">
        <f t="shared" si="124"/>
        <v>1</v>
      </c>
      <c r="V451" s="21">
        <f t="shared" si="125"/>
        <v>1</v>
      </c>
    </row>
    <row r="452" spans="1:22" x14ac:dyDescent="0.25">
      <c r="A452">
        <f>Tabelle2!A468</f>
        <v>0</v>
      </c>
      <c r="B452">
        <f>Tabelle2!$N468+(B$11*Tabelle2!$O468)</f>
        <v>0</v>
      </c>
      <c r="C452">
        <f>Tabelle2!$N468+(C$11*Tabelle2!$O468)</f>
        <v>0</v>
      </c>
      <c r="D452">
        <f>Tabelle2!$N468+(D$11*Tabelle2!$O468)</f>
        <v>0</v>
      </c>
      <c r="E452" s="21">
        <f t="shared" si="108"/>
        <v>1</v>
      </c>
      <c r="F452" s="21">
        <f t="shared" si="109"/>
        <v>1</v>
      </c>
      <c r="G452" s="21">
        <f t="shared" si="110"/>
        <v>1</v>
      </c>
      <c r="H452" s="21">
        <f t="shared" si="111"/>
        <v>1</v>
      </c>
      <c r="I452" s="21">
        <f t="shared" si="112"/>
        <v>1</v>
      </c>
      <c r="J452" s="21">
        <f t="shared" si="113"/>
        <v>1</v>
      </c>
      <c r="K452" s="21">
        <f t="shared" si="114"/>
        <v>1</v>
      </c>
      <c r="L452" s="21">
        <f t="shared" si="115"/>
        <v>1</v>
      </c>
      <c r="M452" s="21">
        <f t="shared" si="116"/>
        <v>1</v>
      </c>
      <c r="N452" s="21">
        <f t="shared" si="117"/>
        <v>1</v>
      </c>
      <c r="O452" s="21">
        <f t="shared" si="118"/>
        <v>1</v>
      </c>
      <c r="P452" s="21">
        <f t="shared" si="119"/>
        <v>1</v>
      </c>
      <c r="Q452" s="21">
        <f t="shared" si="120"/>
        <v>1</v>
      </c>
      <c r="R452" s="21">
        <f t="shared" si="121"/>
        <v>1</v>
      </c>
      <c r="S452" s="21">
        <f t="shared" si="122"/>
        <v>1</v>
      </c>
      <c r="T452" s="21">
        <f t="shared" si="123"/>
        <v>1</v>
      </c>
      <c r="U452" s="21">
        <f t="shared" si="124"/>
        <v>1</v>
      </c>
      <c r="V452" s="21">
        <f t="shared" si="125"/>
        <v>1</v>
      </c>
    </row>
    <row r="453" spans="1:22" x14ac:dyDescent="0.25">
      <c r="A453">
        <f>Tabelle2!A469</f>
        <v>0</v>
      </c>
      <c r="B453">
        <f>Tabelle2!$N469+(B$11*Tabelle2!$O469)</f>
        <v>0</v>
      </c>
      <c r="C453">
        <f>Tabelle2!$N469+(C$11*Tabelle2!$O469)</f>
        <v>0</v>
      </c>
      <c r="D453">
        <f>Tabelle2!$N469+(D$11*Tabelle2!$O469)</f>
        <v>0</v>
      </c>
      <c r="E453" s="21">
        <f t="shared" si="108"/>
        <v>1</v>
      </c>
      <c r="F453" s="21">
        <f t="shared" si="109"/>
        <v>1</v>
      </c>
      <c r="G453" s="21">
        <f t="shared" si="110"/>
        <v>1</v>
      </c>
      <c r="H453" s="21">
        <f t="shared" si="111"/>
        <v>1</v>
      </c>
      <c r="I453" s="21">
        <f t="shared" si="112"/>
        <v>1</v>
      </c>
      <c r="J453" s="21">
        <f t="shared" si="113"/>
        <v>1</v>
      </c>
      <c r="K453" s="21">
        <f t="shared" si="114"/>
        <v>1</v>
      </c>
      <c r="L453" s="21">
        <f t="shared" si="115"/>
        <v>1</v>
      </c>
      <c r="M453" s="21">
        <f t="shared" si="116"/>
        <v>1</v>
      </c>
      <c r="N453" s="21">
        <f t="shared" si="117"/>
        <v>1</v>
      </c>
      <c r="O453" s="21">
        <f t="shared" si="118"/>
        <v>1</v>
      </c>
      <c r="P453" s="21">
        <f t="shared" si="119"/>
        <v>1</v>
      </c>
      <c r="Q453" s="21">
        <f t="shared" si="120"/>
        <v>1</v>
      </c>
      <c r="R453" s="21">
        <f t="shared" si="121"/>
        <v>1</v>
      </c>
      <c r="S453" s="21">
        <f t="shared" si="122"/>
        <v>1</v>
      </c>
      <c r="T453" s="21">
        <f t="shared" si="123"/>
        <v>1</v>
      </c>
      <c r="U453" s="21">
        <f t="shared" si="124"/>
        <v>1</v>
      </c>
      <c r="V453" s="21">
        <f t="shared" si="125"/>
        <v>1</v>
      </c>
    </row>
    <row r="454" spans="1:22" x14ac:dyDescent="0.25">
      <c r="A454">
        <f>Tabelle2!A470</f>
        <v>0</v>
      </c>
      <c r="B454">
        <f>Tabelle2!$N470+(B$11*Tabelle2!$O470)</f>
        <v>0</v>
      </c>
      <c r="C454">
        <f>Tabelle2!$N470+(C$11*Tabelle2!$O470)</f>
        <v>0</v>
      </c>
      <c r="D454">
        <f>Tabelle2!$N470+(D$11*Tabelle2!$O470)</f>
        <v>0</v>
      </c>
      <c r="E454" s="21">
        <f t="shared" si="108"/>
        <v>1</v>
      </c>
      <c r="F454" s="21">
        <f t="shared" si="109"/>
        <v>1</v>
      </c>
      <c r="G454" s="21">
        <f t="shared" si="110"/>
        <v>1</v>
      </c>
      <c r="H454" s="21">
        <f t="shared" si="111"/>
        <v>1</v>
      </c>
      <c r="I454" s="21">
        <f t="shared" si="112"/>
        <v>1</v>
      </c>
      <c r="J454" s="21">
        <f t="shared" si="113"/>
        <v>1</v>
      </c>
      <c r="K454" s="21">
        <f t="shared" si="114"/>
        <v>1</v>
      </c>
      <c r="L454" s="21">
        <f t="shared" si="115"/>
        <v>1</v>
      </c>
      <c r="M454" s="21">
        <f t="shared" si="116"/>
        <v>1</v>
      </c>
      <c r="N454" s="21">
        <f t="shared" si="117"/>
        <v>1</v>
      </c>
      <c r="O454" s="21">
        <f t="shared" si="118"/>
        <v>1</v>
      </c>
      <c r="P454" s="21">
        <f t="shared" si="119"/>
        <v>1</v>
      </c>
      <c r="Q454" s="21">
        <f t="shared" si="120"/>
        <v>1</v>
      </c>
      <c r="R454" s="21">
        <f t="shared" si="121"/>
        <v>1</v>
      </c>
      <c r="S454" s="21">
        <f t="shared" si="122"/>
        <v>1</v>
      </c>
      <c r="T454" s="21">
        <f t="shared" si="123"/>
        <v>1</v>
      </c>
      <c r="U454" s="21">
        <f t="shared" si="124"/>
        <v>1</v>
      </c>
      <c r="V454" s="21">
        <f t="shared" si="125"/>
        <v>1</v>
      </c>
    </row>
    <row r="455" spans="1:22" x14ac:dyDescent="0.25">
      <c r="A455">
        <f>Tabelle2!A471</f>
        <v>0</v>
      </c>
      <c r="B455">
        <f>Tabelle2!$N471+(B$11*Tabelle2!$O471)</f>
        <v>0</v>
      </c>
      <c r="C455">
        <f>Tabelle2!$N471+(C$11*Tabelle2!$O471)</f>
        <v>0</v>
      </c>
      <c r="D455">
        <f>Tabelle2!$N471+(D$11*Tabelle2!$O471)</f>
        <v>0</v>
      </c>
      <c r="E455" s="21">
        <f t="shared" si="108"/>
        <v>1</v>
      </c>
      <c r="F455" s="21">
        <f t="shared" si="109"/>
        <v>1</v>
      </c>
      <c r="G455" s="21">
        <f t="shared" si="110"/>
        <v>1</v>
      </c>
      <c r="H455" s="21">
        <f t="shared" si="111"/>
        <v>1</v>
      </c>
      <c r="I455" s="21">
        <f t="shared" si="112"/>
        <v>1</v>
      </c>
      <c r="J455" s="21">
        <f t="shared" si="113"/>
        <v>1</v>
      </c>
      <c r="K455" s="21">
        <f t="shared" si="114"/>
        <v>1</v>
      </c>
      <c r="L455" s="21">
        <f t="shared" si="115"/>
        <v>1</v>
      </c>
      <c r="M455" s="21">
        <f t="shared" si="116"/>
        <v>1</v>
      </c>
      <c r="N455" s="21">
        <f t="shared" si="117"/>
        <v>1</v>
      </c>
      <c r="O455" s="21">
        <f t="shared" si="118"/>
        <v>1</v>
      </c>
      <c r="P455" s="21">
        <f t="shared" si="119"/>
        <v>1</v>
      </c>
      <c r="Q455" s="21">
        <f t="shared" si="120"/>
        <v>1</v>
      </c>
      <c r="R455" s="21">
        <f t="shared" si="121"/>
        <v>1</v>
      </c>
      <c r="S455" s="21">
        <f t="shared" si="122"/>
        <v>1</v>
      </c>
      <c r="T455" s="21">
        <f t="shared" si="123"/>
        <v>1</v>
      </c>
      <c r="U455" s="21">
        <f t="shared" si="124"/>
        <v>1</v>
      </c>
      <c r="V455" s="21">
        <f t="shared" si="125"/>
        <v>1</v>
      </c>
    </row>
    <row r="456" spans="1:22" x14ac:dyDescent="0.25">
      <c r="A456">
        <f>Tabelle2!A472</f>
        <v>0</v>
      </c>
      <c r="B456">
        <f>Tabelle2!$N472+(B$11*Tabelle2!$O472)</f>
        <v>0</v>
      </c>
      <c r="C456">
        <f>Tabelle2!$N472+(C$11*Tabelle2!$O472)</f>
        <v>0</v>
      </c>
      <c r="D456">
        <f>Tabelle2!$N472+(D$11*Tabelle2!$O472)</f>
        <v>0</v>
      </c>
      <c r="E456" s="21">
        <f t="shared" si="108"/>
        <v>1</v>
      </c>
      <c r="F456" s="21">
        <f t="shared" si="109"/>
        <v>1</v>
      </c>
      <c r="G456" s="21">
        <f t="shared" si="110"/>
        <v>1</v>
      </c>
      <c r="H456" s="21">
        <f t="shared" si="111"/>
        <v>1</v>
      </c>
      <c r="I456" s="21">
        <f t="shared" si="112"/>
        <v>1</v>
      </c>
      <c r="J456" s="21">
        <f t="shared" si="113"/>
        <v>1</v>
      </c>
      <c r="K456" s="21">
        <f t="shared" si="114"/>
        <v>1</v>
      </c>
      <c r="L456" s="21">
        <f t="shared" si="115"/>
        <v>1</v>
      </c>
      <c r="M456" s="21">
        <f t="shared" si="116"/>
        <v>1</v>
      </c>
      <c r="N456" s="21">
        <f t="shared" si="117"/>
        <v>1</v>
      </c>
      <c r="O456" s="21">
        <f t="shared" si="118"/>
        <v>1</v>
      </c>
      <c r="P456" s="21">
        <f t="shared" si="119"/>
        <v>1</v>
      </c>
      <c r="Q456" s="21">
        <f t="shared" si="120"/>
        <v>1</v>
      </c>
      <c r="R456" s="21">
        <f t="shared" si="121"/>
        <v>1</v>
      </c>
      <c r="S456" s="21">
        <f t="shared" si="122"/>
        <v>1</v>
      </c>
      <c r="T456" s="21">
        <f t="shared" si="123"/>
        <v>1</v>
      </c>
      <c r="U456" s="21">
        <f t="shared" si="124"/>
        <v>1</v>
      </c>
      <c r="V456" s="21">
        <f t="shared" si="125"/>
        <v>1</v>
      </c>
    </row>
    <row r="457" spans="1:22" x14ac:dyDescent="0.25">
      <c r="A457">
        <f>Tabelle2!A473</f>
        <v>0</v>
      </c>
      <c r="B457">
        <f>Tabelle2!$N473+(B$11*Tabelle2!$O473)</f>
        <v>0</v>
      </c>
      <c r="C457">
        <f>Tabelle2!$N473+(C$11*Tabelle2!$O473)</f>
        <v>0</v>
      </c>
      <c r="D457">
        <f>Tabelle2!$N473+(D$11*Tabelle2!$O473)</f>
        <v>0</v>
      </c>
      <c r="E457" s="21">
        <f t="shared" si="108"/>
        <v>1</v>
      </c>
      <c r="F457" s="21">
        <f t="shared" si="109"/>
        <v>1</v>
      </c>
      <c r="G457" s="21">
        <f t="shared" si="110"/>
        <v>1</v>
      </c>
      <c r="H457" s="21">
        <f t="shared" si="111"/>
        <v>1</v>
      </c>
      <c r="I457" s="21">
        <f t="shared" si="112"/>
        <v>1</v>
      </c>
      <c r="J457" s="21">
        <f t="shared" si="113"/>
        <v>1</v>
      </c>
      <c r="K457" s="21">
        <f t="shared" si="114"/>
        <v>1</v>
      </c>
      <c r="L457" s="21">
        <f t="shared" si="115"/>
        <v>1</v>
      </c>
      <c r="M457" s="21">
        <f t="shared" si="116"/>
        <v>1</v>
      </c>
      <c r="N457" s="21">
        <f t="shared" si="117"/>
        <v>1</v>
      </c>
      <c r="O457" s="21">
        <f t="shared" si="118"/>
        <v>1</v>
      </c>
      <c r="P457" s="21">
        <f t="shared" si="119"/>
        <v>1</v>
      </c>
      <c r="Q457" s="21">
        <f t="shared" si="120"/>
        <v>1</v>
      </c>
      <c r="R457" s="21">
        <f t="shared" si="121"/>
        <v>1</v>
      </c>
      <c r="S457" s="21">
        <f t="shared" si="122"/>
        <v>1</v>
      </c>
      <c r="T457" s="21">
        <f t="shared" si="123"/>
        <v>1</v>
      </c>
      <c r="U457" s="21">
        <f t="shared" si="124"/>
        <v>1</v>
      </c>
      <c r="V457" s="21">
        <f t="shared" si="125"/>
        <v>1</v>
      </c>
    </row>
    <row r="458" spans="1:22" x14ac:dyDescent="0.25">
      <c r="A458">
        <f>Tabelle2!A474</f>
        <v>0</v>
      </c>
      <c r="B458">
        <f>Tabelle2!$N474+(B$11*Tabelle2!$O474)</f>
        <v>0</v>
      </c>
      <c r="C458">
        <f>Tabelle2!$N474+(C$11*Tabelle2!$O474)</f>
        <v>0</v>
      </c>
      <c r="D458">
        <f>Tabelle2!$N474+(D$11*Tabelle2!$O474)</f>
        <v>0</v>
      </c>
      <c r="E458" s="21">
        <f t="shared" si="108"/>
        <v>1</v>
      </c>
      <c r="F458" s="21">
        <f t="shared" si="109"/>
        <v>1</v>
      </c>
      <c r="G458" s="21">
        <f t="shared" si="110"/>
        <v>1</v>
      </c>
      <c r="H458" s="21">
        <f t="shared" si="111"/>
        <v>1</v>
      </c>
      <c r="I458" s="21">
        <f t="shared" si="112"/>
        <v>1</v>
      </c>
      <c r="J458" s="21">
        <f t="shared" si="113"/>
        <v>1</v>
      </c>
      <c r="K458" s="21">
        <f t="shared" si="114"/>
        <v>1</v>
      </c>
      <c r="L458" s="21">
        <f t="shared" si="115"/>
        <v>1</v>
      </c>
      <c r="M458" s="21">
        <f t="shared" si="116"/>
        <v>1</v>
      </c>
      <c r="N458" s="21">
        <f t="shared" si="117"/>
        <v>1</v>
      </c>
      <c r="O458" s="21">
        <f t="shared" si="118"/>
        <v>1</v>
      </c>
      <c r="P458" s="21">
        <f t="shared" si="119"/>
        <v>1</v>
      </c>
      <c r="Q458" s="21">
        <f t="shared" si="120"/>
        <v>1</v>
      </c>
      <c r="R458" s="21">
        <f t="shared" si="121"/>
        <v>1</v>
      </c>
      <c r="S458" s="21">
        <f t="shared" si="122"/>
        <v>1</v>
      </c>
      <c r="T458" s="21">
        <f t="shared" si="123"/>
        <v>1</v>
      </c>
      <c r="U458" s="21">
        <f t="shared" si="124"/>
        <v>1</v>
      </c>
      <c r="V458" s="21">
        <f t="shared" si="125"/>
        <v>1</v>
      </c>
    </row>
    <row r="459" spans="1:22" x14ac:dyDescent="0.25">
      <c r="A459">
        <f>Tabelle2!A475</f>
        <v>0</v>
      </c>
      <c r="B459">
        <f>Tabelle2!$N475+(B$11*Tabelle2!$O475)</f>
        <v>0</v>
      </c>
      <c r="C459">
        <f>Tabelle2!$N475+(C$11*Tabelle2!$O475)</f>
        <v>0</v>
      </c>
      <c r="D459">
        <f>Tabelle2!$N475+(D$11*Tabelle2!$O475)</f>
        <v>0</v>
      </c>
      <c r="E459" s="21">
        <f t="shared" si="108"/>
        <v>1</v>
      </c>
      <c r="F459" s="21">
        <f t="shared" si="109"/>
        <v>1</v>
      </c>
      <c r="G459" s="21">
        <f t="shared" si="110"/>
        <v>1</v>
      </c>
      <c r="H459" s="21">
        <f t="shared" si="111"/>
        <v>1</v>
      </c>
      <c r="I459" s="21">
        <f t="shared" si="112"/>
        <v>1</v>
      </c>
      <c r="J459" s="21">
        <f t="shared" si="113"/>
        <v>1</v>
      </c>
      <c r="K459" s="21">
        <f t="shared" si="114"/>
        <v>1</v>
      </c>
      <c r="L459" s="21">
        <f t="shared" si="115"/>
        <v>1</v>
      </c>
      <c r="M459" s="21">
        <f t="shared" si="116"/>
        <v>1</v>
      </c>
      <c r="N459" s="21">
        <f t="shared" si="117"/>
        <v>1</v>
      </c>
      <c r="O459" s="21">
        <f t="shared" si="118"/>
        <v>1</v>
      </c>
      <c r="P459" s="21">
        <f t="shared" si="119"/>
        <v>1</v>
      </c>
      <c r="Q459" s="21">
        <f t="shared" si="120"/>
        <v>1</v>
      </c>
      <c r="R459" s="21">
        <f t="shared" si="121"/>
        <v>1</v>
      </c>
      <c r="S459" s="21">
        <f t="shared" si="122"/>
        <v>1</v>
      </c>
      <c r="T459" s="21">
        <f t="shared" si="123"/>
        <v>1</v>
      </c>
      <c r="U459" s="21">
        <f t="shared" si="124"/>
        <v>1</v>
      </c>
      <c r="V459" s="21">
        <f t="shared" si="125"/>
        <v>1</v>
      </c>
    </row>
    <row r="460" spans="1:22" x14ac:dyDescent="0.25">
      <c r="A460">
        <f>Tabelle2!A476</f>
        <v>0</v>
      </c>
      <c r="B460">
        <f>Tabelle2!$N476+(B$11*Tabelle2!$O476)</f>
        <v>0</v>
      </c>
      <c r="C460">
        <f>Tabelle2!$N476+(C$11*Tabelle2!$O476)</f>
        <v>0</v>
      </c>
      <c r="D460">
        <f>Tabelle2!$N476+(D$11*Tabelle2!$O476)</f>
        <v>0</v>
      </c>
      <c r="E460" s="21">
        <f t="shared" si="108"/>
        <v>1</v>
      </c>
      <c r="F460" s="21">
        <f t="shared" si="109"/>
        <v>1</v>
      </c>
      <c r="G460" s="21">
        <f t="shared" si="110"/>
        <v>1</v>
      </c>
      <c r="H460" s="21">
        <f t="shared" si="111"/>
        <v>1</v>
      </c>
      <c r="I460" s="21">
        <f t="shared" si="112"/>
        <v>1</v>
      </c>
      <c r="J460" s="21">
        <f t="shared" si="113"/>
        <v>1</v>
      </c>
      <c r="K460" s="21">
        <f t="shared" si="114"/>
        <v>1</v>
      </c>
      <c r="L460" s="21">
        <f t="shared" si="115"/>
        <v>1</v>
      </c>
      <c r="M460" s="21">
        <f t="shared" si="116"/>
        <v>1</v>
      </c>
      <c r="N460" s="21">
        <f t="shared" si="117"/>
        <v>1</v>
      </c>
      <c r="O460" s="21">
        <f t="shared" si="118"/>
        <v>1</v>
      </c>
      <c r="P460" s="21">
        <f t="shared" si="119"/>
        <v>1</v>
      </c>
      <c r="Q460" s="21">
        <f t="shared" si="120"/>
        <v>1</v>
      </c>
      <c r="R460" s="21">
        <f t="shared" si="121"/>
        <v>1</v>
      </c>
      <c r="S460" s="21">
        <f t="shared" si="122"/>
        <v>1</v>
      </c>
      <c r="T460" s="21">
        <f t="shared" si="123"/>
        <v>1</v>
      </c>
      <c r="U460" s="21">
        <f t="shared" si="124"/>
        <v>1</v>
      </c>
      <c r="V460" s="21">
        <f t="shared" si="125"/>
        <v>1</v>
      </c>
    </row>
    <row r="461" spans="1:22" x14ac:dyDescent="0.25">
      <c r="A461">
        <f>Tabelle2!A477</f>
        <v>0</v>
      </c>
      <c r="B461">
        <f>Tabelle2!$N477+(B$11*Tabelle2!$O477)</f>
        <v>0</v>
      </c>
      <c r="C461">
        <f>Tabelle2!$N477+(C$11*Tabelle2!$O477)</f>
        <v>0</v>
      </c>
      <c r="D461">
        <f>Tabelle2!$N477+(D$11*Tabelle2!$O477)</f>
        <v>0</v>
      </c>
      <c r="E461" s="21">
        <f t="shared" ref="E461:E524" si="126">POWER($C$2,$B461/$B$2)</f>
        <v>1</v>
      </c>
      <c r="F461" s="21">
        <f t="shared" ref="F461:F524" si="127">POWER($C$2,$C461/$B$2)</f>
        <v>1</v>
      </c>
      <c r="G461" s="21">
        <f t="shared" ref="G461:G524" si="128">POWER($C$2,$D461/$B$2)</f>
        <v>1</v>
      </c>
      <c r="H461" s="21">
        <f t="shared" ref="H461:H524" si="129">POWER($C$3,$B461/$B$3)</f>
        <v>1</v>
      </c>
      <c r="I461" s="21">
        <f t="shared" ref="I461:I524" si="130">POWER($C$3,$C461/$B$3)</f>
        <v>1</v>
      </c>
      <c r="J461" s="21">
        <f t="shared" ref="J461:J524" si="131">POWER($C$3,$D461/$B$3)</f>
        <v>1</v>
      </c>
      <c r="K461" s="21">
        <f t="shared" ref="K461:K524" si="132">POWER($C$4,$B461/$B$4)</f>
        <v>1</v>
      </c>
      <c r="L461" s="21">
        <f t="shared" ref="L461:L524" si="133">POWER($C$4,$C461/$B$4)</f>
        <v>1</v>
      </c>
      <c r="M461" s="21">
        <f t="shared" ref="M461:M524" si="134">POWER($C$4,$D461/$B$4)</f>
        <v>1</v>
      </c>
      <c r="N461" s="21">
        <f t="shared" ref="N461:N524" si="135">POWER($C$5,$B461/$B$5)</f>
        <v>1</v>
      </c>
      <c r="O461" s="21">
        <f t="shared" ref="O461:O524" si="136">POWER($C$5,$C461/$B$5)</f>
        <v>1</v>
      </c>
      <c r="P461" s="21">
        <f t="shared" ref="P461:P524" si="137">POWER($C$5,$D461/$B$5)</f>
        <v>1</v>
      </c>
      <c r="Q461" s="21">
        <f t="shared" ref="Q461:Q524" si="138">POWER($C$6,$B461/$B$6)</f>
        <v>1</v>
      </c>
      <c r="R461" s="21">
        <f t="shared" ref="R461:R524" si="139">POWER($C$6,$C461/$B$6)</f>
        <v>1</v>
      </c>
      <c r="S461" s="21">
        <f t="shared" ref="S461:S524" si="140">POWER($C$6,$D461/$B$6)</f>
        <v>1</v>
      </c>
      <c r="T461" s="21">
        <f t="shared" ref="T461:T524" si="141">POWER($C$7,$B461/$B$7)</f>
        <v>1</v>
      </c>
      <c r="U461" s="21">
        <f t="shared" ref="U461:U524" si="142">POWER($C$7,$C461/$B$7)</f>
        <v>1</v>
      </c>
      <c r="V461" s="21">
        <f t="shared" ref="V461:V524" si="143">POWER($C$7,$D461/$B$7)</f>
        <v>1</v>
      </c>
    </row>
    <row r="462" spans="1:22" x14ac:dyDescent="0.25">
      <c r="A462">
        <f>Tabelle2!A478</f>
        <v>0</v>
      </c>
      <c r="B462">
        <f>Tabelle2!$N478+(B$11*Tabelle2!$O478)</f>
        <v>0</v>
      </c>
      <c r="C462">
        <f>Tabelle2!$N478+(C$11*Tabelle2!$O478)</f>
        <v>0</v>
      </c>
      <c r="D462">
        <f>Tabelle2!$N478+(D$11*Tabelle2!$O478)</f>
        <v>0</v>
      </c>
      <c r="E462" s="21">
        <f t="shared" si="126"/>
        <v>1</v>
      </c>
      <c r="F462" s="21">
        <f t="shared" si="127"/>
        <v>1</v>
      </c>
      <c r="G462" s="21">
        <f t="shared" si="128"/>
        <v>1</v>
      </c>
      <c r="H462" s="21">
        <f t="shared" si="129"/>
        <v>1</v>
      </c>
      <c r="I462" s="21">
        <f t="shared" si="130"/>
        <v>1</v>
      </c>
      <c r="J462" s="21">
        <f t="shared" si="131"/>
        <v>1</v>
      </c>
      <c r="K462" s="21">
        <f t="shared" si="132"/>
        <v>1</v>
      </c>
      <c r="L462" s="21">
        <f t="shared" si="133"/>
        <v>1</v>
      </c>
      <c r="M462" s="21">
        <f t="shared" si="134"/>
        <v>1</v>
      </c>
      <c r="N462" s="21">
        <f t="shared" si="135"/>
        <v>1</v>
      </c>
      <c r="O462" s="21">
        <f t="shared" si="136"/>
        <v>1</v>
      </c>
      <c r="P462" s="21">
        <f t="shared" si="137"/>
        <v>1</v>
      </c>
      <c r="Q462" s="21">
        <f t="shared" si="138"/>
        <v>1</v>
      </c>
      <c r="R462" s="21">
        <f t="shared" si="139"/>
        <v>1</v>
      </c>
      <c r="S462" s="21">
        <f t="shared" si="140"/>
        <v>1</v>
      </c>
      <c r="T462" s="21">
        <f t="shared" si="141"/>
        <v>1</v>
      </c>
      <c r="U462" s="21">
        <f t="shared" si="142"/>
        <v>1</v>
      </c>
      <c r="V462" s="21">
        <f t="shared" si="143"/>
        <v>1</v>
      </c>
    </row>
    <row r="463" spans="1:22" x14ac:dyDescent="0.25">
      <c r="A463">
        <f>Tabelle2!A479</f>
        <v>0</v>
      </c>
      <c r="B463">
        <f>Tabelle2!$N479+(B$11*Tabelle2!$O479)</f>
        <v>0</v>
      </c>
      <c r="C463">
        <f>Tabelle2!$N479+(C$11*Tabelle2!$O479)</f>
        <v>0</v>
      </c>
      <c r="D463">
        <f>Tabelle2!$N479+(D$11*Tabelle2!$O479)</f>
        <v>0</v>
      </c>
      <c r="E463" s="21">
        <f t="shared" si="126"/>
        <v>1</v>
      </c>
      <c r="F463" s="21">
        <f t="shared" si="127"/>
        <v>1</v>
      </c>
      <c r="G463" s="21">
        <f t="shared" si="128"/>
        <v>1</v>
      </c>
      <c r="H463" s="21">
        <f t="shared" si="129"/>
        <v>1</v>
      </c>
      <c r="I463" s="21">
        <f t="shared" si="130"/>
        <v>1</v>
      </c>
      <c r="J463" s="21">
        <f t="shared" si="131"/>
        <v>1</v>
      </c>
      <c r="K463" s="21">
        <f t="shared" si="132"/>
        <v>1</v>
      </c>
      <c r="L463" s="21">
        <f t="shared" si="133"/>
        <v>1</v>
      </c>
      <c r="M463" s="21">
        <f t="shared" si="134"/>
        <v>1</v>
      </c>
      <c r="N463" s="21">
        <f t="shared" si="135"/>
        <v>1</v>
      </c>
      <c r="O463" s="21">
        <f t="shared" si="136"/>
        <v>1</v>
      </c>
      <c r="P463" s="21">
        <f t="shared" si="137"/>
        <v>1</v>
      </c>
      <c r="Q463" s="21">
        <f t="shared" si="138"/>
        <v>1</v>
      </c>
      <c r="R463" s="21">
        <f t="shared" si="139"/>
        <v>1</v>
      </c>
      <c r="S463" s="21">
        <f t="shared" si="140"/>
        <v>1</v>
      </c>
      <c r="T463" s="21">
        <f t="shared" si="141"/>
        <v>1</v>
      </c>
      <c r="U463" s="21">
        <f t="shared" si="142"/>
        <v>1</v>
      </c>
      <c r="V463" s="21">
        <f t="shared" si="143"/>
        <v>1</v>
      </c>
    </row>
    <row r="464" spans="1:22" x14ac:dyDescent="0.25">
      <c r="A464">
        <f>Tabelle2!A480</f>
        <v>0</v>
      </c>
      <c r="B464">
        <f>Tabelle2!$N480+(B$11*Tabelle2!$O480)</f>
        <v>0</v>
      </c>
      <c r="C464">
        <f>Tabelle2!$N480+(C$11*Tabelle2!$O480)</f>
        <v>0</v>
      </c>
      <c r="D464">
        <f>Tabelle2!$N480+(D$11*Tabelle2!$O480)</f>
        <v>0</v>
      </c>
      <c r="E464" s="21">
        <f t="shared" si="126"/>
        <v>1</v>
      </c>
      <c r="F464" s="21">
        <f t="shared" si="127"/>
        <v>1</v>
      </c>
      <c r="G464" s="21">
        <f t="shared" si="128"/>
        <v>1</v>
      </c>
      <c r="H464" s="21">
        <f t="shared" si="129"/>
        <v>1</v>
      </c>
      <c r="I464" s="21">
        <f t="shared" si="130"/>
        <v>1</v>
      </c>
      <c r="J464" s="21">
        <f t="shared" si="131"/>
        <v>1</v>
      </c>
      <c r="K464" s="21">
        <f t="shared" si="132"/>
        <v>1</v>
      </c>
      <c r="L464" s="21">
        <f t="shared" si="133"/>
        <v>1</v>
      </c>
      <c r="M464" s="21">
        <f t="shared" si="134"/>
        <v>1</v>
      </c>
      <c r="N464" s="21">
        <f t="shared" si="135"/>
        <v>1</v>
      </c>
      <c r="O464" s="21">
        <f t="shared" si="136"/>
        <v>1</v>
      </c>
      <c r="P464" s="21">
        <f t="shared" si="137"/>
        <v>1</v>
      </c>
      <c r="Q464" s="21">
        <f t="shared" si="138"/>
        <v>1</v>
      </c>
      <c r="R464" s="21">
        <f t="shared" si="139"/>
        <v>1</v>
      </c>
      <c r="S464" s="21">
        <f t="shared" si="140"/>
        <v>1</v>
      </c>
      <c r="T464" s="21">
        <f t="shared" si="141"/>
        <v>1</v>
      </c>
      <c r="U464" s="21">
        <f t="shared" si="142"/>
        <v>1</v>
      </c>
      <c r="V464" s="21">
        <f t="shared" si="143"/>
        <v>1</v>
      </c>
    </row>
    <row r="465" spans="1:22" x14ac:dyDescent="0.25">
      <c r="A465">
        <f>Tabelle2!A481</f>
        <v>0</v>
      </c>
      <c r="B465">
        <f>Tabelle2!$N481+(B$11*Tabelle2!$O481)</f>
        <v>0</v>
      </c>
      <c r="C465">
        <f>Tabelle2!$N481+(C$11*Tabelle2!$O481)</f>
        <v>0</v>
      </c>
      <c r="D465">
        <f>Tabelle2!$N481+(D$11*Tabelle2!$O481)</f>
        <v>0</v>
      </c>
      <c r="E465" s="21">
        <f t="shared" si="126"/>
        <v>1</v>
      </c>
      <c r="F465" s="21">
        <f t="shared" si="127"/>
        <v>1</v>
      </c>
      <c r="G465" s="21">
        <f t="shared" si="128"/>
        <v>1</v>
      </c>
      <c r="H465" s="21">
        <f t="shared" si="129"/>
        <v>1</v>
      </c>
      <c r="I465" s="21">
        <f t="shared" si="130"/>
        <v>1</v>
      </c>
      <c r="J465" s="21">
        <f t="shared" si="131"/>
        <v>1</v>
      </c>
      <c r="K465" s="21">
        <f t="shared" si="132"/>
        <v>1</v>
      </c>
      <c r="L465" s="21">
        <f t="shared" si="133"/>
        <v>1</v>
      </c>
      <c r="M465" s="21">
        <f t="shared" si="134"/>
        <v>1</v>
      </c>
      <c r="N465" s="21">
        <f t="shared" si="135"/>
        <v>1</v>
      </c>
      <c r="O465" s="21">
        <f t="shared" si="136"/>
        <v>1</v>
      </c>
      <c r="P465" s="21">
        <f t="shared" si="137"/>
        <v>1</v>
      </c>
      <c r="Q465" s="21">
        <f t="shared" si="138"/>
        <v>1</v>
      </c>
      <c r="R465" s="21">
        <f t="shared" si="139"/>
        <v>1</v>
      </c>
      <c r="S465" s="21">
        <f t="shared" si="140"/>
        <v>1</v>
      </c>
      <c r="T465" s="21">
        <f t="shared" si="141"/>
        <v>1</v>
      </c>
      <c r="U465" s="21">
        <f t="shared" si="142"/>
        <v>1</v>
      </c>
      <c r="V465" s="21">
        <f t="shared" si="143"/>
        <v>1</v>
      </c>
    </row>
    <row r="466" spans="1:22" x14ac:dyDescent="0.25">
      <c r="A466">
        <f>Tabelle2!A482</f>
        <v>0</v>
      </c>
      <c r="B466">
        <f>Tabelle2!$N482+(B$11*Tabelle2!$O482)</f>
        <v>0</v>
      </c>
      <c r="C466">
        <f>Tabelle2!$N482+(C$11*Tabelle2!$O482)</f>
        <v>0</v>
      </c>
      <c r="D466">
        <f>Tabelle2!$N482+(D$11*Tabelle2!$O482)</f>
        <v>0</v>
      </c>
      <c r="E466" s="21">
        <f t="shared" si="126"/>
        <v>1</v>
      </c>
      <c r="F466" s="21">
        <f t="shared" si="127"/>
        <v>1</v>
      </c>
      <c r="G466" s="21">
        <f t="shared" si="128"/>
        <v>1</v>
      </c>
      <c r="H466" s="21">
        <f t="shared" si="129"/>
        <v>1</v>
      </c>
      <c r="I466" s="21">
        <f t="shared" si="130"/>
        <v>1</v>
      </c>
      <c r="J466" s="21">
        <f t="shared" si="131"/>
        <v>1</v>
      </c>
      <c r="K466" s="21">
        <f t="shared" si="132"/>
        <v>1</v>
      </c>
      <c r="L466" s="21">
        <f t="shared" si="133"/>
        <v>1</v>
      </c>
      <c r="M466" s="21">
        <f t="shared" si="134"/>
        <v>1</v>
      </c>
      <c r="N466" s="21">
        <f t="shared" si="135"/>
        <v>1</v>
      </c>
      <c r="O466" s="21">
        <f t="shared" si="136"/>
        <v>1</v>
      </c>
      <c r="P466" s="21">
        <f t="shared" si="137"/>
        <v>1</v>
      </c>
      <c r="Q466" s="21">
        <f t="shared" si="138"/>
        <v>1</v>
      </c>
      <c r="R466" s="21">
        <f t="shared" si="139"/>
        <v>1</v>
      </c>
      <c r="S466" s="21">
        <f t="shared" si="140"/>
        <v>1</v>
      </c>
      <c r="T466" s="21">
        <f t="shared" si="141"/>
        <v>1</v>
      </c>
      <c r="U466" s="21">
        <f t="shared" si="142"/>
        <v>1</v>
      </c>
      <c r="V466" s="21">
        <f t="shared" si="143"/>
        <v>1</v>
      </c>
    </row>
    <row r="467" spans="1:22" x14ac:dyDescent="0.25">
      <c r="A467">
        <f>Tabelle2!A483</f>
        <v>0</v>
      </c>
      <c r="B467">
        <f>Tabelle2!$N483+(B$11*Tabelle2!$O483)</f>
        <v>0</v>
      </c>
      <c r="C467">
        <f>Tabelle2!$N483+(C$11*Tabelle2!$O483)</f>
        <v>0</v>
      </c>
      <c r="D467">
        <f>Tabelle2!$N483+(D$11*Tabelle2!$O483)</f>
        <v>0</v>
      </c>
      <c r="E467" s="21">
        <f t="shared" si="126"/>
        <v>1</v>
      </c>
      <c r="F467" s="21">
        <f t="shared" si="127"/>
        <v>1</v>
      </c>
      <c r="G467" s="21">
        <f t="shared" si="128"/>
        <v>1</v>
      </c>
      <c r="H467" s="21">
        <f t="shared" si="129"/>
        <v>1</v>
      </c>
      <c r="I467" s="21">
        <f t="shared" si="130"/>
        <v>1</v>
      </c>
      <c r="J467" s="21">
        <f t="shared" si="131"/>
        <v>1</v>
      </c>
      <c r="K467" s="21">
        <f t="shared" si="132"/>
        <v>1</v>
      </c>
      <c r="L467" s="21">
        <f t="shared" si="133"/>
        <v>1</v>
      </c>
      <c r="M467" s="21">
        <f t="shared" si="134"/>
        <v>1</v>
      </c>
      <c r="N467" s="21">
        <f t="shared" si="135"/>
        <v>1</v>
      </c>
      <c r="O467" s="21">
        <f t="shared" si="136"/>
        <v>1</v>
      </c>
      <c r="P467" s="21">
        <f t="shared" si="137"/>
        <v>1</v>
      </c>
      <c r="Q467" s="21">
        <f t="shared" si="138"/>
        <v>1</v>
      </c>
      <c r="R467" s="21">
        <f t="shared" si="139"/>
        <v>1</v>
      </c>
      <c r="S467" s="21">
        <f t="shared" si="140"/>
        <v>1</v>
      </c>
      <c r="T467" s="21">
        <f t="shared" si="141"/>
        <v>1</v>
      </c>
      <c r="U467" s="21">
        <f t="shared" si="142"/>
        <v>1</v>
      </c>
      <c r="V467" s="21">
        <f t="shared" si="143"/>
        <v>1</v>
      </c>
    </row>
    <row r="468" spans="1:22" x14ac:dyDescent="0.25">
      <c r="A468">
        <f>Tabelle2!A484</f>
        <v>0</v>
      </c>
      <c r="B468">
        <f>Tabelle2!$N484+(B$11*Tabelle2!$O484)</f>
        <v>0</v>
      </c>
      <c r="C468">
        <f>Tabelle2!$N484+(C$11*Tabelle2!$O484)</f>
        <v>0</v>
      </c>
      <c r="D468">
        <f>Tabelle2!$N484+(D$11*Tabelle2!$O484)</f>
        <v>0</v>
      </c>
      <c r="E468" s="21">
        <f t="shared" si="126"/>
        <v>1</v>
      </c>
      <c r="F468" s="21">
        <f t="shared" si="127"/>
        <v>1</v>
      </c>
      <c r="G468" s="21">
        <f t="shared" si="128"/>
        <v>1</v>
      </c>
      <c r="H468" s="21">
        <f t="shared" si="129"/>
        <v>1</v>
      </c>
      <c r="I468" s="21">
        <f t="shared" si="130"/>
        <v>1</v>
      </c>
      <c r="J468" s="21">
        <f t="shared" si="131"/>
        <v>1</v>
      </c>
      <c r="K468" s="21">
        <f t="shared" si="132"/>
        <v>1</v>
      </c>
      <c r="L468" s="21">
        <f t="shared" si="133"/>
        <v>1</v>
      </c>
      <c r="M468" s="21">
        <f t="shared" si="134"/>
        <v>1</v>
      </c>
      <c r="N468" s="21">
        <f t="shared" si="135"/>
        <v>1</v>
      </c>
      <c r="O468" s="21">
        <f t="shared" si="136"/>
        <v>1</v>
      </c>
      <c r="P468" s="21">
        <f t="shared" si="137"/>
        <v>1</v>
      </c>
      <c r="Q468" s="21">
        <f t="shared" si="138"/>
        <v>1</v>
      </c>
      <c r="R468" s="21">
        <f t="shared" si="139"/>
        <v>1</v>
      </c>
      <c r="S468" s="21">
        <f t="shared" si="140"/>
        <v>1</v>
      </c>
      <c r="T468" s="21">
        <f t="shared" si="141"/>
        <v>1</v>
      </c>
      <c r="U468" s="21">
        <f t="shared" si="142"/>
        <v>1</v>
      </c>
      <c r="V468" s="21">
        <f t="shared" si="143"/>
        <v>1</v>
      </c>
    </row>
    <row r="469" spans="1:22" x14ac:dyDescent="0.25">
      <c r="A469">
        <f>Tabelle2!A485</f>
        <v>0</v>
      </c>
      <c r="B469">
        <f>Tabelle2!$N485+(B$11*Tabelle2!$O485)</f>
        <v>0</v>
      </c>
      <c r="C469">
        <f>Tabelle2!$N485+(C$11*Tabelle2!$O485)</f>
        <v>0</v>
      </c>
      <c r="D469">
        <f>Tabelle2!$N485+(D$11*Tabelle2!$O485)</f>
        <v>0</v>
      </c>
      <c r="E469" s="21">
        <f t="shared" si="126"/>
        <v>1</v>
      </c>
      <c r="F469" s="21">
        <f t="shared" si="127"/>
        <v>1</v>
      </c>
      <c r="G469" s="21">
        <f t="shared" si="128"/>
        <v>1</v>
      </c>
      <c r="H469" s="21">
        <f t="shared" si="129"/>
        <v>1</v>
      </c>
      <c r="I469" s="21">
        <f t="shared" si="130"/>
        <v>1</v>
      </c>
      <c r="J469" s="21">
        <f t="shared" si="131"/>
        <v>1</v>
      </c>
      <c r="K469" s="21">
        <f t="shared" si="132"/>
        <v>1</v>
      </c>
      <c r="L469" s="21">
        <f t="shared" si="133"/>
        <v>1</v>
      </c>
      <c r="M469" s="21">
        <f t="shared" si="134"/>
        <v>1</v>
      </c>
      <c r="N469" s="21">
        <f t="shared" si="135"/>
        <v>1</v>
      </c>
      <c r="O469" s="21">
        <f t="shared" si="136"/>
        <v>1</v>
      </c>
      <c r="P469" s="21">
        <f t="shared" si="137"/>
        <v>1</v>
      </c>
      <c r="Q469" s="21">
        <f t="shared" si="138"/>
        <v>1</v>
      </c>
      <c r="R469" s="21">
        <f t="shared" si="139"/>
        <v>1</v>
      </c>
      <c r="S469" s="21">
        <f t="shared" si="140"/>
        <v>1</v>
      </c>
      <c r="T469" s="21">
        <f t="shared" si="141"/>
        <v>1</v>
      </c>
      <c r="U469" s="21">
        <f t="shared" si="142"/>
        <v>1</v>
      </c>
      <c r="V469" s="21">
        <f t="shared" si="143"/>
        <v>1</v>
      </c>
    </row>
    <row r="470" spans="1:22" x14ac:dyDescent="0.25">
      <c r="A470">
        <f>Tabelle2!A486</f>
        <v>0</v>
      </c>
      <c r="B470">
        <f>Tabelle2!$N486+(B$11*Tabelle2!$O486)</f>
        <v>0</v>
      </c>
      <c r="C470">
        <f>Tabelle2!$N486+(C$11*Tabelle2!$O486)</f>
        <v>0</v>
      </c>
      <c r="D470">
        <f>Tabelle2!$N486+(D$11*Tabelle2!$O486)</f>
        <v>0</v>
      </c>
      <c r="E470" s="21">
        <f t="shared" si="126"/>
        <v>1</v>
      </c>
      <c r="F470" s="21">
        <f t="shared" si="127"/>
        <v>1</v>
      </c>
      <c r="G470" s="21">
        <f t="shared" si="128"/>
        <v>1</v>
      </c>
      <c r="H470" s="21">
        <f t="shared" si="129"/>
        <v>1</v>
      </c>
      <c r="I470" s="21">
        <f t="shared" si="130"/>
        <v>1</v>
      </c>
      <c r="J470" s="21">
        <f t="shared" si="131"/>
        <v>1</v>
      </c>
      <c r="K470" s="21">
        <f t="shared" si="132"/>
        <v>1</v>
      </c>
      <c r="L470" s="21">
        <f t="shared" si="133"/>
        <v>1</v>
      </c>
      <c r="M470" s="21">
        <f t="shared" si="134"/>
        <v>1</v>
      </c>
      <c r="N470" s="21">
        <f t="shared" si="135"/>
        <v>1</v>
      </c>
      <c r="O470" s="21">
        <f t="shared" si="136"/>
        <v>1</v>
      </c>
      <c r="P470" s="21">
        <f t="shared" si="137"/>
        <v>1</v>
      </c>
      <c r="Q470" s="21">
        <f t="shared" si="138"/>
        <v>1</v>
      </c>
      <c r="R470" s="21">
        <f t="shared" si="139"/>
        <v>1</v>
      </c>
      <c r="S470" s="21">
        <f t="shared" si="140"/>
        <v>1</v>
      </c>
      <c r="T470" s="21">
        <f t="shared" si="141"/>
        <v>1</v>
      </c>
      <c r="U470" s="21">
        <f t="shared" si="142"/>
        <v>1</v>
      </c>
      <c r="V470" s="21">
        <f t="shared" si="143"/>
        <v>1</v>
      </c>
    </row>
    <row r="471" spans="1:22" x14ac:dyDescent="0.25">
      <c r="A471">
        <f>Tabelle2!A487</f>
        <v>0</v>
      </c>
      <c r="B471">
        <f>Tabelle2!$N487+(B$11*Tabelle2!$O487)</f>
        <v>0</v>
      </c>
      <c r="C471">
        <f>Tabelle2!$N487+(C$11*Tabelle2!$O487)</f>
        <v>0</v>
      </c>
      <c r="D471">
        <f>Tabelle2!$N487+(D$11*Tabelle2!$O487)</f>
        <v>0</v>
      </c>
      <c r="E471" s="21">
        <f t="shared" si="126"/>
        <v>1</v>
      </c>
      <c r="F471" s="21">
        <f t="shared" si="127"/>
        <v>1</v>
      </c>
      <c r="G471" s="21">
        <f t="shared" si="128"/>
        <v>1</v>
      </c>
      <c r="H471" s="21">
        <f t="shared" si="129"/>
        <v>1</v>
      </c>
      <c r="I471" s="21">
        <f t="shared" si="130"/>
        <v>1</v>
      </c>
      <c r="J471" s="21">
        <f t="shared" si="131"/>
        <v>1</v>
      </c>
      <c r="K471" s="21">
        <f t="shared" si="132"/>
        <v>1</v>
      </c>
      <c r="L471" s="21">
        <f t="shared" si="133"/>
        <v>1</v>
      </c>
      <c r="M471" s="21">
        <f t="shared" si="134"/>
        <v>1</v>
      </c>
      <c r="N471" s="21">
        <f t="shared" si="135"/>
        <v>1</v>
      </c>
      <c r="O471" s="21">
        <f t="shared" si="136"/>
        <v>1</v>
      </c>
      <c r="P471" s="21">
        <f t="shared" si="137"/>
        <v>1</v>
      </c>
      <c r="Q471" s="21">
        <f t="shared" si="138"/>
        <v>1</v>
      </c>
      <c r="R471" s="21">
        <f t="shared" si="139"/>
        <v>1</v>
      </c>
      <c r="S471" s="21">
        <f t="shared" si="140"/>
        <v>1</v>
      </c>
      <c r="T471" s="21">
        <f t="shared" si="141"/>
        <v>1</v>
      </c>
      <c r="U471" s="21">
        <f t="shared" si="142"/>
        <v>1</v>
      </c>
      <c r="V471" s="21">
        <f t="shared" si="143"/>
        <v>1</v>
      </c>
    </row>
    <row r="472" spans="1:22" x14ac:dyDescent="0.25">
      <c r="A472">
        <f>Tabelle2!A488</f>
        <v>0</v>
      </c>
      <c r="B472">
        <f>Tabelle2!$N488+(B$11*Tabelle2!$O488)</f>
        <v>0</v>
      </c>
      <c r="C472">
        <f>Tabelle2!$N488+(C$11*Tabelle2!$O488)</f>
        <v>0</v>
      </c>
      <c r="D472">
        <f>Tabelle2!$N488+(D$11*Tabelle2!$O488)</f>
        <v>0</v>
      </c>
      <c r="E472" s="21">
        <f t="shared" si="126"/>
        <v>1</v>
      </c>
      <c r="F472" s="21">
        <f t="shared" si="127"/>
        <v>1</v>
      </c>
      <c r="G472" s="21">
        <f t="shared" si="128"/>
        <v>1</v>
      </c>
      <c r="H472" s="21">
        <f t="shared" si="129"/>
        <v>1</v>
      </c>
      <c r="I472" s="21">
        <f t="shared" si="130"/>
        <v>1</v>
      </c>
      <c r="J472" s="21">
        <f t="shared" si="131"/>
        <v>1</v>
      </c>
      <c r="K472" s="21">
        <f t="shared" si="132"/>
        <v>1</v>
      </c>
      <c r="L472" s="21">
        <f t="shared" si="133"/>
        <v>1</v>
      </c>
      <c r="M472" s="21">
        <f t="shared" si="134"/>
        <v>1</v>
      </c>
      <c r="N472" s="21">
        <f t="shared" si="135"/>
        <v>1</v>
      </c>
      <c r="O472" s="21">
        <f t="shared" si="136"/>
        <v>1</v>
      </c>
      <c r="P472" s="21">
        <f t="shared" si="137"/>
        <v>1</v>
      </c>
      <c r="Q472" s="21">
        <f t="shared" si="138"/>
        <v>1</v>
      </c>
      <c r="R472" s="21">
        <f t="shared" si="139"/>
        <v>1</v>
      </c>
      <c r="S472" s="21">
        <f t="shared" si="140"/>
        <v>1</v>
      </c>
      <c r="T472" s="21">
        <f t="shared" si="141"/>
        <v>1</v>
      </c>
      <c r="U472" s="21">
        <f t="shared" si="142"/>
        <v>1</v>
      </c>
      <c r="V472" s="21">
        <f t="shared" si="143"/>
        <v>1</v>
      </c>
    </row>
    <row r="473" spans="1:22" x14ac:dyDescent="0.25">
      <c r="A473">
        <f>Tabelle2!A489</f>
        <v>0</v>
      </c>
      <c r="B473">
        <f>Tabelle2!$N489+(B$11*Tabelle2!$O489)</f>
        <v>0</v>
      </c>
      <c r="C473">
        <f>Tabelle2!$N489+(C$11*Tabelle2!$O489)</f>
        <v>0</v>
      </c>
      <c r="D473">
        <f>Tabelle2!$N489+(D$11*Tabelle2!$O489)</f>
        <v>0</v>
      </c>
      <c r="E473" s="21">
        <f t="shared" si="126"/>
        <v>1</v>
      </c>
      <c r="F473" s="21">
        <f t="shared" si="127"/>
        <v>1</v>
      </c>
      <c r="G473" s="21">
        <f t="shared" si="128"/>
        <v>1</v>
      </c>
      <c r="H473" s="21">
        <f t="shared" si="129"/>
        <v>1</v>
      </c>
      <c r="I473" s="21">
        <f t="shared" si="130"/>
        <v>1</v>
      </c>
      <c r="J473" s="21">
        <f t="shared" si="131"/>
        <v>1</v>
      </c>
      <c r="K473" s="21">
        <f t="shared" si="132"/>
        <v>1</v>
      </c>
      <c r="L473" s="21">
        <f t="shared" si="133"/>
        <v>1</v>
      </c>
      <c r="M473" s="21">
        <f t="shared" si="134"/>
        <v>1</v>
      </c>
      <c r="N473" s="21">
        <f t="shared" si="135"/>
        <v>1</v>
      </c>
      <c r="O473" s="21">
        <f t="shared" si="136"/>
        <v>1</v>
      </c>
      <c r="P473" s="21">
        <f t="shared" si="137"/>
        <v>1</v>
      </c>
      <c r="Q473" s="21">
        <f t="shared" si="138"/>
        <v>1</v>
      </c>
      <c r="R473" s="21">
        <f t="shared" si="139"/>
        <v>1</v>
      </c>
      <c r="S473" s="21">
        <f t="shared" si="140"/>
        <v>1</v>
      </c>
      <c r="T473" s="21">
        <f t="shared" si="141"/>
        <v>1</v>
      </c>
      <c r="U473" s="21">
        <f t="shared" si="142"/>
        <v>1</v>
      </c>
      <c r="V473" s="21">
        <f t="shared" si="143"/>
        <v>1</v>
      </c>
    </row>
    <row r="474" spans="1:22" x14ac:dyDescent="0.25">
      <c r="A474">
        <f>Tabelle2!A490</f>
        <v>0</v>
      </c>
      <c r="B474">
        <f>Tabelle2!$N490+(B$11*Tabelle2!$O490)</f>
        <v>0</v>
      </c>
      <c r="C474">
        <f>Tabelle2!$N490+(C$11*Tabelle2!$O490)</f>
        <v>0</v>
      </c>
      <c r="D474">
        <f>Tabelle2!$N490+(D$11*Tabelle2!$O490)</f>
        <v>0</v>
      </c>
      <c r="E474" s="21">
        <f t="shared" si="126"/>
        <v>1</v>
      </c>
      <c r="F474" s="21">
        <f t="shared" si="127"/>
        <v>1</v>
      </c>
      <c r="G474" s="21">
        <f t="shared" si="128"/>
        <v>1</v>
      </c>
      <c r="H474" s="21">
        <f t="shared" si="129"/>
        <v>1</v>
      </c>
      <c r="I474" s="21">
        <f t="shared" si="130"/>
        <v>1</v>
      </c>
      <c r="J474" s="21">
        <f t="shared" si="131"/>
        <v>1</v>
      </c>
      <c r="K474" s="21">
        <f t="shared" si="132"/>
        <v>1</v>
      </c>
      <c r="L474" s="21">
        <f t="shared" si="133"/>
        <v>1</v>
      </c>
      <c r="M474" s="21">
        <f t="shared" si="134"/>
        <v>1</v>
      </c>
      <c r="N474" s="21">
        <f t="shared" si="135"/>
        <v>1</v>
      </c>
      <c r="O474" s="21">
        <f t="shared" si="136"/>
        <v>1</v>
      </c>
      <c r="P474" s="21">
        <f t="shared" si="137"/>
        <v>1</v>
      </c>
      <c r="Q474" s="21">
        <f t="shared" si="138"/>
        <v>1</v>
      </c>
      <c r="R474" s="21">
        <f t="shared" si="139"/>
        <v>1</v>
      </c>
      <c r="S474" s="21">
        <f t="shared" si="140"/>
        <v>1</v>
      </c>
      <c r="T474" s="21">
        <f t="shared" si="141"/>
        <v>1</v>
      </c>
      <c r="U474" s="21">
        <f t="shared" si="142"/>
        <v>1</v>
      </c>
      <c r="V474" s="21">
        <f t="shared" si="143"/>
        <v>1</v>
      </c>
    </row>
    <row r="475" spans="1:22" x14ac:dyDescent="0.25">
      <c r="A475">
        <f>Tabelle2!A491</f>
        <v>0</v>
      </c>
      <c r="B475">
        <f>Tabelle2!$N491+(B$11*Tabelle2!$O491)</f>
        <v>0</v>
      </c>
      <c r="C475">
        <f>Tabelle2!$N491+(C$11*Tabelle2!$O491)</f>
        <v>0</v>
      </c>
      <c r="D475">
        <f>Tabelle2!$N491+(D$11*Tabelle2!$O491)</f>
        <v>0</v>
      </c>
      <c r="E475" s="21">
        <f t="shared" si="126"/>
        <v>1</v>
      </c>
      <c r="F475" s="21">
        <f t="shared" si="127"/>
        <v>1</v>
      </c>
      <c r="G475" s="21">
        <f t="shared" si="128"/>
        <v>1</v>
      </c>
      <c r="H475" s="21">
        <f t="shared" si="129"/>
        <v>1</v>
      </c>
      <c r="I475" s="21">
        <f t="shared" si="130"/>
        <v>1</v>
      </c>
      <c r="J475" s="21">
        <f t="shared" si="131"/>
        <v>1</v>
      </c>
      <c r="K475" s="21">
        <f t="shared" si="132"/>
        <v>1</v>
      </c>
      <c r="L475" s="21">
        <f t="shared" si="133"/>
        <v>1</v>
      </c>
      <c r="M475" s="21">
        <f t="shared" si="134"/>
        <v>1</v>
      </c>
      <c r="N475" s="21">
        <f t="shared" si="135"/>
        <v>1</v>
      </c>
      <c r="O475" s="21">
        <f t="shared" si="136"/>
        <v>1</v>
      </c>
      <c r="P475" s="21">
        <f t="shared" si="137"/>
        <v>1</v>
      </c>
      <c r="Q475" s="21">
        <f t="shared" si="138"/>
        <v>1</v>
      </c>
      <c r="R475" s="21">
        <f t="shared" si="139"/>
        <v>1</v>
      </c>
      <c r="S475" s="21">
        <f t="shared" si="140"/>
        <v>1</v>
      </c>
      <c r="T475" s="21">
        <f t="shared" si="141"/>
        <v>1</v>
      </c>
      <c r="U475" s="21">
        <f t="shared" si="142"/>
        <v>1</v>
      </c>
      <c r="V475" s="21">
        <f t="shared" si="143"/>
        <v>1</v>
      </c>
    </row>
    <row r="476" spans="1:22" x14ac:dyDescent="0.25">
      <c r="A476">
        <f>Tabelle2!A492</f>
        <v>0</v>
      </c>
      <c r="B476">
        <f>Tabelle2!$N492+(B$11*Tabelle2!$O492)</f>
        <v>0</v>
      </c>
      <c r="C476">
        <f>Tabelle2!$N492+(C$11*Tabelle2!$O492)</f>
        <v>0</v>
      </c>
      <c r="D476">
        <f>Tabelle2!$N492+(D$11*Tabelle2!$O492)</f>
        <v>0</v>
      </c>
      <c r="E476" s="21">
        <f t="shared" si="126"/>
        <v>1</v>
      </c>
      <c r="F476" s="21">
        <f t="shared" si="127"/>
        <v>1</v>
      </c>
      <c r="G476" s="21">
        <f t="shared" si="128"/>
        <v>1</v>
      </c>
      <c r="H476" s="21">
        <f t="shared" si="129"/>
        <v>1</v>
      </c>
      <c r="I476" s="21">
        <f t="shared" si="130"/>
        <v>1</v>
      </c>
      <c r="J476" s="21">
        <f t="shared" si="131"/>
        <v>1</v>
      </c>
      <c r="K476" s="21">
        <f t="shared" si="132"/>
        <v>1</v>
      </c>
      <c r="L476" s="21">
        <f t="shared" si="133"/>
        <v>1</v>
      </c>
      <c r="M476" s="21">
        <f t="shared" si="134"/>
        <v>1</v>
      </c>
      <c r="N476" s="21">
        <f t="shared" si="135"/>
        <v>1</v>
      </c>
      <c r="O476" s="21">
        <f t="shared" si="136"/>
        <v>1</v>
      </c>
      <c r="P476" s="21">
        <f t="shared" si="137"/>
        <v>1</v>
      </c>
      <c r="Q476" s="21">
        <f t="shared" si="138"/>
        <v>1</v>
      </c>
      <c r="R476" s="21">
        <f t="shared" si="139"/>
        <v>1</v>
      </c>
      <c r="S476" s="21">
        <f t="shared" si="140"/>
        <v>1</v>
      </c>
      <c r="T476" s="21">
        <f t="shared" si="141"/>
        <v>1</v>
      </c>
      <c r="U476" s="21">
        <f t="shared" si="142"/>
        <v>1</v>
      </c>
      <c r="V476" s="21">
        <f t="shared" si="143"/>
        <v>1</v>
      </c>
    </row>
    <row r="477" spans="1:22" x14ac:dyDescent="0.25">
      <c r="A477">
        <f>Tabelle2!A493</f>
        <v>0</v>
      </c>
      <c r="B477">
        <f>Tabelle2!$N493+(B$11*Tabelle2!$O493)</f>
        <v>0</v>
      </c>
      <c r="C477">
        <f>Tabelle2!$N493+(C$11*Tabelle2!$O493)</f>
        <v>0</v>
      </c>
      <c r="D477">
        <f>Tabelle2!$N493+(D$11*Tabelle2!$O493)</f>
        <v>0</v>
      </c>
      <c r="E477" s="21">
        <f t="shared" si="126"/>
        <v>1</v>
      </c>
      <c r="F477" s="21">
        <f t="shared" si="127"/>
        <v>1</v>
      </c>
      <c r="G477" s="21">
        <f t="shared" si="128"/>
        <v>1</v>
      </c>
      <c r="H477" s="21">
        <f t="shared" si="129"/>
        <v>1</v>
      </c>
      <c r="I477" s="21">
        <f t="shared" si="130"/>
        <v>1</v>
      </c>
      <c r="J477" s="21">
        <f t="shared" si="131"/>
        <v>1</v>
      </c>
      <c r="K477" s="21">
        <f t="shared" si="132"/>
        <v>1</v>
      </c>
      <c r="L477" s="21">
        <f t="shared" si="133"/>
        <v>1</v>
      </c>
      <c r="M477" s="21">
        <f t="shared" si="134"/>
        <v>1</v>
      </c>
      <c r="N477" s="21">
        <f t="shared" si="135"/>
        <v>1</v>
      </c>
      <c r="O477" s="21">
        <f t="shared" si="136"/>
        <v>1</v>
      </c>
      <c r="P477" s="21">
        <f t="shared" si="137"/>
        <v>1</v>
      </c>
      <c r="Q477" s="21">
        <f t="shared" si="138"/>
        <v>1</v>
      </c>
      <c r="R477" s="21">
        <f t="shared" si="139"/>
        <v>1</v>
      </c>
      <c r="S477" s="21">
        <f t="shared" si="140"/>
        <v>1</v>
      </c>
      <c r="T477" s="21">
        <f t="shared" si="141"/>
        <v>1</v>
      </c>
      <c r="U477" s="21">
        <f t="shared" si="142"/>
        <v>1</v>
      </c>
      <c r="V477" s="21">
        <f t="shared" si="143"/>
        <v>1</v>
      </c>
    </row>
    <row r="478" spans="1:22" x14ac:dyDescent="0.25">
      <c r="A478">
        <f>Tabelle2!A494</f>
        <v>0</v>
      </c>
      <c r="B478">
        <f>Tabelle2!$N494+(B$11*Tabelle2!$O494)</f>
        <v>0</v>
      </c>
      <c r="C478">
        <f>Tabelle2!$N494+(C$11*Tabelle2!$O494)</f>
        <v>0</v>
      </c>
      <c r="D478">
        <f>Tabelle2!$N494+(D$11*Tabelle2!$O494)</f>
        <v>0</v>
      </c>
      <c r="E478" s="21">
        <f t="shared" si="126"/>
        <v>1</v>
      </c>
      <c r="F478" s="21">
        <f t="shared" si="127"/>
        <v>1</v>
      </c>
      <c r="G478" s="21">
        <f t="shared" si="128"/>
        <v>1</v>
      </c>
      <c r="H478" s="21">
        <f t="shared" si="129"/>
        <v>1</v>
      </c>
      <c r="I478" s="21">
        <f t="shared" si="130"/>
        <v>1</v>
      </c>
      <c r="J478" s="21">
        <f t="shared" si="131"/>
        <v>1</v>
      </c>
      <c r="K478" s="21">
        <f t="shared" si="132"/>
        <v>1</v>
      </c>
      <c r="L478" s="21">
        <f t="shared" si="133"/>
        <v>1</v>
      </c>
      <c r="M478" s="21">
        <f t="shared" si="134"/>
        <v>1</v>
      </c>
      <c r="N478" s="21">
        <f t="shared" si="135"/>
        <v>1</v>
      </c>
      <c r="O478" s="21">
        <f t="shared" si="136"/>
        <v>1</v>
      </c>
      <c r="P478" s="21">
        <f t="shared" si="137"/>
        <v>1</v>
      </c>
      <c r="Q478" s="21">
        <f t="shared" si="138"/>
        <v>1</v>
      </c>
      <c r="R478" s="21">
        <f t="shared" si="139"/>
        <v>1</v>
      </c>
      <c r="S478" s="21">
        <f t="shared" si="140"/>
        <v>1</v>
      </c>
      <c r="T478" s="21">
        <f t="shared" si="141"/>
        <v>1</v>
      </c>
      <c r="U478" s="21">
        <f t="shared" si="142"/>
        <v>1</v>
      </c>
      <c r="V478" s="21">
        <f t="shared" si="143"/>
        <v>1</v>
      </c>
    </row>
    <row r="479" spans="1:22" x14ac:dyDescent="0.25">
      <c r="A479">
        <f>Tabelle2!A495</f>
        <v>0</v>
      </c>
      <c r="B479">
        <f>Tabelle2!$N495+(B$11*Tabelle2!$O495)</f>
        <v>0</v>
      </c>
      <c r="C479">
        <f>Tabelle2!$N495+(C$11*Tabelle2!$O495)</f>
        <v>0</v>
      </c>
      <c r="D479">
        <f>Tabelle2!$N495+(D$11*Tabelle2!$O495)</f>
        <v>0</v>
      </c>
      <c r="E479" s="21">
        <f t="shared" si="126"/>
        <v>1</v>
      </c>
      <c r="F479" s="21">
        <f t="shared" si="127"/>
        <v>1</v>
      </c>
      <c r="G479" s="21">
        <f t="shared" si="128"/>
        <v>1</v>
      </c>
      <c r="H479" s="21">
        <f t="shared" si="129"/>
        <v>1</v>
      </c>
      <c r="I479" s="21">
        <f t="shared" si="130"/>
        <v>1</v>
      </c>
      <c r="J479" s="21">
        <f t="shared" si="131"/>
        <v>1</v>
      </c>
      <c r="K479" s="21">
        <f t="shared" si="132"/>
        <v>1</v>
      </c>
      <c r="L479" s="21">
        <f t="shared" si="133"/>
        <v>1</v>
      </c>
      <c r="M479" s="21">
        <f t="shared" si="134"/>
        <v>1</v>
      </c>
      <c r="N479" s="21">
        <f t="shared" si="135"/>
        <v>1</v>
      </c>
      <c r="O479" s="21">
        <f t="shared" si="136"/>
        <v>1</v>
      </c>
      <c r="P479" s="21">
        <f t="shared" si="137"/>
        <v>1</v>
      </c>
      <c r="Q479" s="21">
        <f t="shared" si="138"/>
        <v>1</v>
      </c>
      <c r="R479" s="21">
        <f t="shared" si="139"/>
        <v>1</v>
      </c>
      <c r="S479" s="21">
        <f t="shared" si="140"/>
        <v>1</v>
      </c>
      <c r="T479" s="21">
        <f t="shared" si="141"/>
        <v>1</v>
      </c>
      <c r="U479" s="21">
        <f t="shared" si="142"/>
        <v>1</v>
      </c>
      <c r="V479" s="21">
        <f t="shared" si="143"/>
        <v>1</v>
      </c>
    </row>
    <row r="480" spans="1:22" x14ac:dyDescent="0.25">
      <c r="A480">
        <f>Tabelle2!A496</f>
        <v>0</v>
      </c>
      <c r="B480">
        <f>Tabelle2!$N496+(B$11*Tabelle2!$O496)</f>
        <v>0</v>
      </c>
      <c r="C480">
        <f>Tabelle2!$N496+(C$11*Tabelle2!$O496)</f>
        <v>0</v>
      </c>
      <c r="D480">
        <f>Tabelle2!$N496+(D$11*Tabelle2!$O496)</f>
        <v>0</v>
      </c>
      <c r="E480" s="21">
        <f t="shared" si="126"/>
        <v>1</v>
      </c>
      <c r="F480" s="21">
        <f t="shared" si="127"/>
        <v>1</v>
      </c>
      <c r="G480" s="21">
        <f t="shared" si="128"/>
        <v>1</v>
      </c>
      <c r="H480" s="21">
        <f t="shared" si="129"/>
        <v>1</v>
      </c>
      <c r="I480" s="21">
        <f t="shared" si="130"/>
        <v>1</v>
      </c>
      <c r="J480" s="21">
        <f t="shared" si="131"/>
        <v>1</v>
      </c>
      <c r="K480" s="21">
        <f t="shared" si="132"/>
        <v>1</v>
      </c>
      <c r="L480" s="21">
        <f t="shared" si="133"/>
        <v>1</v>
      </c>
      <c r="M480" s="21">
        <f t="shared" si="134"/>
        <v>1</v>
      </c>
      <c r="N480" s="21">
        <f t="shared" si="135"/>
        <v>1</v>
      </c>
      <c r="O480" s="21">
        <f t="shared" si="136"/>
        <v>1</v>
      </c>
      <c r="P480" s="21">
        <f t="shared" si="137"/>
        <v>1</v>
      </c>
      <c r="Q480" s="21">
        <f t="shared" si="138"/>
        <v>1</v>
      </c>
      <c r="R480" s="21">
        <f t="shared" si="139"/>
        <v>1</v>
      </c>
      <c r="S480" s="21">
        <f t="shared" si="140"/>
        <v>1</v>
      </c>
      <c r="T480" s="21">
        <f t="shared" si="141"/>
        <v>1</v>
      </c>
      <c r="U480" s="21">
        <f t="shared" si="142"/>
        <v>1</v>
      </c>
      <c r="V480" s="21">
        <f t="shared" si="143"/>
        <v>1</v>
      </c>
    </row>
    <row r="481" spans="1:22" x14ac:dyDescent="0.25">
      <c r="A481">
        <f>Tabelle2!A497</f>
        <v>0</v>
      </c>
      <c r="B481">
        <f>Tabelle2!$N497+(B$11*Tabelle2!$O497)</f>
        <v>0</v>
      </c>
      <c r="C481">
        <f>Tabelle2!$N497+(C$11*Tabelle2!$O497)</f>
        <v>0</v>
      </c>
      <c r="D481">
        <f>Tabelle2!$N497+(D$11*Tabelle2!$O497)</f>
        <v>0</v>
      </c>
      <c r="E481" s="21">
        <f t="shared" si="126"/>
        <v>1</v>
      </c>
      <c r="F481" s="21">
        <f t="shared" si="127"/>
        <v>1</v>
      </c>
      <c r="G481" s="21">
        <f t="shared" si="128"/>
        <v>1</v>
      </c>
      <c r="H481" s="21">
        <f t="shared" si="129"/>
        <v>1</v>
      </c>
      <c r="I481" s="21">
        <f t="shared" si="130"/>
        <v>1</v>
      </c>
      <c r="J481" s="21">
        <f t="shared" si="131"/>
        <v>1</v>
      </c>
      <c r="K481" s="21">
        <f t="shared" si="132"/>
        <v>1</v>
      </c>
      <c r="L481" s="21">
        <f t="shared" si="133"/>
        <v>1</v>
      </c>
      <c r="M481" s="21">
        <f t="shared" si="134"/>
        <v>1</v>
      </c>
      <c r="N481" s="21">
        <f t="shared" si="135"/>
        <v>1</v>
      </c>
      <c r="O481" s="21">
        <f t="shared" si="136"/>
        <v>1</v>
      </c>
      <c r="P481" s="21">
        <f t="shared" si="137"/>
        <v>1</v>
      </c>
      <c r="Q481" s="21">
        <f t="shared" si="138"/>
        <v>1</v>
      </c>
      <c r="R481" s="21">
        <f t="shared" si="139"/>
        <v>1</v>
      </c>
      <c r="S481" s="21">
        <f t="shared" si="140"/>
        <v>1</v>
      </c>
      <c r="T481" s="21">
        <f t="shared" si="141"/>
        <v>1</v>
      </c>
      <c r="U481" s="21">
        <f t="shared" si="142"/>
        <v>1</v>
      </c>
      <c r="V481" s="21">
        <f t="shared" si="143"/>
        <v>1</v>
      </c>
    </row>
    <row r="482" spans="1:22" x14ac:dyDescent="0.25">
      <c r="A482">
        <f>Tabelle2!A498</f>
        <v>0</v>
      </c>
      <c r="B482">
        <f>Tabelle2!$N498+(B$11*Tabelle2!$O498)</f>
        <v>0</v>
      </c>
      <c r="C482">
        <f>Tabelle2!$N498+(C$11*Tabelle2!$O498)</f>
        <v>0</v>
      </c>
      <c r="D482">
        <f>Tabelle2!$N498+(D$11*Tabelle2!$O498)</f>
        <v>0</v>
      </c>
      <c r="E482" s="21">
        <f t="shared" si="126"/>
        <v>1</v>
      </c>
      <c r="F482" s="21">
        <f t="shared" si="127"/>
        <v>1</v>
      </c>
      <c r="G482" s="21">
        <f t="shared" si="128"/>
        <v>1</v>
      </c>
      <c r="H482" s="21">
        <f t="shared" si="129"/>
        <v>1</v>
      </c>
      <c r="I482" s="21">
        <f t="shared" si="130"/>
        <v>1</v>
      </c>
      <c r="J482" s="21">
        <f t="shared" si="131"/>
        <v>1</v>
      </c>
      <c r="K482" s="21">
        <f t="shared" si="132"/>
        <v>1</v>
      </c>
      <c r="L482" s="21">
        <f t="shared" si="133"/>
        <v>1</v>
      </c>
      <c r="M482" s="21">
        <f t="shared" si="134"/>
        <v>1</v>
      </c>
      <c r="N482" s="21">
        <f t="shared" si="135"/>
        <v>1</v>
      </c>
      <c r="O482" s="21">
        <f t="shared" si="136"/>
        <v>1</v>
      </c>
      <c r="P482" s="21">
        <f t="shared" si="137"/>
        <v>1</v>
      </c>
      <c r="Q482" s="21">
        <f t="shared" si="138"/>
        <v>1</v>
      </c>
      <c r="R482" s="21">
        <f t="shared" si="139"/>
        <v>1</v>
      </c>
      <c r="S482" s="21">
        <f t="shared" si="140"/>
        <v>1</v>
      </c>
      <c r="T482" s="21">
        <f t="shared" si="141"/>
        <v>1</v>
      </c>
      <c r="U482" s="21">
        <f t="shared" si="142"/>
        <v>1</v>
      </c>
      <c r="V482" s="21">
        <f t="shared" si="143"/>
        <v>1</v>
      </c>
    </row>
    <row r="483" spans="1:22" x14ac:dyDescent="0.25">
      <c r="A483">
        <f>Tabelle2!A499</f>
        <v>0</v>
      </c>
      <c r="B483">
        <f>Tabelle2!$N499+(B$11*Tabelle2!$O499)</f>
        <v>0</v>
      </c>
      <c r="C483">
        <f>Tabelle2!$N499+(C$11*Tabelle2!$O499)</f>
        <v>0</v>
      </c>
      <c r="D483">
        <f>Tabelle2!$N499+(D$11*Tabelle2!$O499)</f>
        <v>0</v>
      </c>
      <c r="E483" s="21">
        <f t="shared" si="126"/>
        <v>1</v>
      </c>
      <c r="F483" s="21">
        <f t="shared" si="127"/>
        <v>1</v>
      </c>
      <c r="G483" s="21">
        <f t="shared" si="128"/>
        <v>1</v>
      </c>
      <c r="H483" s="21">
        <f t="shared" si="129"/>
        <v>1</v>
      </c>
      <c r="I483" s="21">
        <f t="shared" si="130"/>
        <v>1</v>
      </c>
      <c r="J483" s="21">
        <f t="shared" si="131"/>
        <v>1</v>
      </c>
      <c r="K483" s="21">
        <f t="shared" si="132"/>
        <v>1</v>
      </c>
      <c r="L483" s="21">
        <f t="shared" si="133"/>
        <v>1</v>
      </c>
      <c r="M483" s="21">
        <f t="shared" si="134"/>
        <v>1</v>
      </c>
      <c r="N483" s="21">
        <f t="shared" si="135"/>
        <v>1</v>
      </c>
      <c r="O483" s="21">
        <f t="shared" si="136"/>
        <v>1</v>
      </c>
      <c r="P483" s="21">
        <f t="shared" si="137"/>
        <v>1</v>
      </c>
      <c r="Q483" s="21">
        <f t="shared" si="138"/>
        <v>1</v>
      </c>
      <c r="R483" s="21">
        <f t="shared" si="139"/>
        <v>1</v>
      </c>
      <c r="S483" s="21">
        <f t="shared" si="140"/>
        <v>1</v>
      </c>
      <c r="T483" s="21">
        <f t="shared" si="141"/>
        <v>1</v>
      </c>
      <c r="U483" s="21">
        <f t="shared" si="142"/>
        <v>1</v>
      </c>
      <c r="V483" s="21">
        <f t="shared" si="143"/>
        <v>1</v>
      </c>
    </row>
    <row r="484" spans="1:22" x14ac:dyDescent="0.25">
      <c r="A484">
        <f>Tabelle2!A500</f>
        <v>0</v>
      </c>
      <c r="B484">
        <f>Tabelle2!$N500+(B$11*Tabelle2!$O500)</f>
        <v>0</v>
      </c>
      <c r="C484">
        <f>Tabelle2!$N500+(C$11*Tabelle2!$O500)</f>
        <v>0</v>
      </c>
      <c r="D484">
        <f>Tabelle2!$N500+(D$11*Tabelle2!$O500)</f>
        <v>0</v>
      </c>
      <c r="E484" s="21">
        <f t="shared" si="126"/>
        <v>1</v>
      </c>
      <c r="F484" s="21">
        <f t="shared" si="127"/>
        <v>1</v>
      </c>
      <c r="G484" s="21">
        <f t="shared" si="128"/>
        <v>1</v>
      </c>
      <c r="H484" s="21">
        <f t="shared" si="129"/>
        <v>1</v>
      </c>
      <c r="I484" s="21">
        <f t="shared" si="130"/>
        <v>1</v>
      </c>
      <c r="J484" s="21">
        <f t="shared" si="131"/>
        <v>1</v>
      </c>
      <c r="K484" s="21">
        <f t="shared" si="132"/>
        <v>1</v>
      </c>
      <c r="L484" s="21">
        <f t="shared" si="133"/>
        <v>1</v>
      </c>
      <c r="M484" s="21">
        <f t="shared" si="134"/>
        <v>1</v>
      </c>
      <c r="N484" s="21">
        <f t="shared" si="135"/>
        <v>1</v>
      </c>
      <c r="O484" s="21">
        <f t="shared" si="136"/>
        <v>1</v>
      </c>
      <c r="P484" s="21">
        <f t="shared" si="137"/>
        <v>1</v>
      </c>
      <c r="Q484" s="21">
        <f t="shared" si="138"/>
        <v>1</v>
      </c>
      <c r="R484" s="21">
        <f t="shared" si="139"/>
        <v>1</v>
      </c>
      <c r="S484" s="21">
        <f t="shared" si="140"/>
        <v>1</v>
      </c>
      <c r="T484" s="21">
        <f t="shared" si="141"/>
        <v>1</v>
      </c>
      <c r="U484" s="21">
        <f t="shared" si="142"/>
        <v>1</v>
      </c>
      <c r="V484" s="21">
        <f t="shared" si="143"/>
        <v>1</v>
      </c>
    </row>
    <row r="485" spans="1:22" x14ac:dyDescent="0.25">
      <c r="A485">
        <f>Tabelle2!A501</f>
        <v>0</v>
      </c>
      <c r="B485">
        <f>Tabelle2!$N501+(B$11*Tabelle2!$O501)</f>
        <v>0</v>
      </c>
      <c r="C485">
        <f>Tabelle2!$N501+(C$11*Tabelle2!$O501)</f>
        <v>0</v>
      </c>
      <c r="D485">
        <f>Tabelle2!$N501+(D$11*Tabelle2!$O501)</f>
        <v>0</v>
      </c>
      <c r="E485" s="21">
        <f t="shared" si="126"/>
        <v>1</v>
      </c>
      <c r="F485" s="21">
        <f t="shared" si="127"/>
        <v>1</v>
      </c>
      <c r="G485" s="21">
        <f t="shared" si="128"/>
        <v>1</v>
      </c>
      <c r="H485" s="21">
        <f t="shared" si="129"/>
        <v>1</v>
      </c>
      <c r="I485" s="21">
        <f t="shared" si="130"/>
        <v>1</v>
      </c>
      <c r="J485" s="21">
        <f t="shared" si="131"/>
        <v>1</v>
      </c>
      <c r="K485" s="21">
        <f t="shared" si="132"/>
        <v>1</v>
      </c>
      <c r="L485" s="21">
        <f t="shared" si="133"/>
        <v>1</v>
      </c>
      <c r="M485" s="21">
        <f t="shared" si="134"/>
        <v>1</v>
      </c>
      <c r="N485" s="21">
        <f t="shared" si="135"/>
        <v>1</v>
      </c>
      <c r="O485" s="21">
        <f t="shared" si="136"/>
        <v>1</v>
      </c>
      <c r="P485" s="21">
        <f t="shared" si="137"/>
        <v>1</v>
      </c>
      <c r="Q485" s="21">
        <f t="shared" si="138"/>
        <v>1</v>
      </c>
      <c r="R485" s="21">
        <f t="shared" si="139"/>
        <v>1</v>
      </c>
      <c r="S485" s="21">
        <f t="shared" si="140"/>
        <v>1</v>
      </c>
      <c r="T485" s="21">
        <f t="shared" si="141"/>
        <v>1</v>
      </c>
      <c r="U485" s="21">
        <f t="shared" si="142"/>
        <v>1</v>
      </c>
      <c r="V485" s="21">
        <f t="shared" si="143"/>
        <v>1</v>
      </c>
    </row>
    <row r="486" spans="1:22" x14ac:dyDescent="0.25">
      <c r="A486">
        <f>Tabelle2!A502</f>
        <v>0</v>
      </c>
      <c r="B486">
        <f>Tabelle2!$N502+(B$11*Tabelle2!$O502)</f>
        <v>0</v>
      </c>
      <c r="C486">
        <f>Tabelle2!$N502+(C$11*Tabelle2!$O502)</f>
        <v>0</v>
      </c>
      <c r="D486">
        <f>Tabelle2!$N502+(D$11*Tabelle2!$O502)</f>
        <v>0</v>
      </c>
      <c r="E486" s="21">
        <f t="shared" si="126"/>
        <v>1</v>
      </c>
      <c r="F486" s="21">
        <f t="shared" si="127"/>
        <v>1</v>
      </c>
      <c r="G486" s="21">
        <f t="shared" si="128"/>
        <v>1</v>
      </c>
      <c r="H486" s="21">
        <f t="shared" si="129"/>
        <v>1</v>
      </c>
      <c r="I486" s="21">
        <f t="shared" si="130"/>
        <v>1</v>
      </c>
      <c r="J486" s="21">
        <f t="shared" si="131"/>
        <v>1</v>
      </c>
      <c r="K486" s="21">
        <f t="shared" si="132"/>
        <v>1</v>
      </c>
      <c r="L486" s="21">
        <f t="shared" si="133"/>
        <v>1</v>
      </c>
      <c r="M486" s="21">
        <f t="shared" si="134"/>
        <v>1</v>
      </c>
      <c r="N486" s="21">
        <f t="shared" si="135"/>
        <v>1</v>
      </c>
      <c r="O486" s="21">
        <f t="shared" si="136"/>
        <v>1</v>
      </c>
      <c r="P486" s="21">
        <f t="shared" si="137"/>
        <v>1</v>
      </c>
      <c r="Q486" s="21">
        <f t="shared" si="138"/>
        <v>1</v>
      </c>
      <c r="R486" s="21">
        <f t="shared" si="139"/>
        <v>1</v>
      </c>
      <c r="S486" s="21">
        <f t="shared" si="140"/>
        <v>1</v>
      </c>
      <c r="T486" s="21">
        <f t="shared" si="141"/>
        <v>1</v>
      </c>
      <c r="U486" s="21">
        <f t="shared" si="142"/>
        <v>1</v>
      </c>
      <c r="V486" s="21">
        <f t="shared" si="143"/>
        <v>1</v>
      </c>
    </row>
    <row r="487" spans="1:22" x14ac:dyDescent="0.25">
      <c r="A487">
        <f>Tabelle2!A503</f>
        <v>0</v>
      </c>
      <c r="B487">
        <f>Tabelle2!$N503+(B$11*Tabelle2!$O503)</f>
        <v>0</v>
      </c>
      <c r="C487">
        <f>Tabelle2!$N503+(C$11*Tabelle2!$O503)</f>
        <v>0</v>
      </c>
      <c r="D487">
        <f>Tabelle2!$N503+(D$11*Tabelle2!$O503)</f>
        <v>0</v>
      </c>
      <c r="E487" s="21">
        <f t="shared" si="126"/>
        <v>1</v>
      </c>
      <c r="F487" s="21">
        <f t="shared" si="127"/>
        <v>1</v>
      </c>
      <c r="G487" s="21">
        <f t="shared" si="128"/>
        <v>1</v>
      </c>
      <c r="H487" s="21">
        <f t="shared" si="129"/>
        <v>1</v>
      </c>
      <c r="I487" s="21">
        <f t="shared" si="130"/>
        <v>1</v>
      </c>
      <c r="J487" s="21">
        <f t="shared" si="131"/>
        <v>1</v>
      </c>
      <c r="K487" s="21">
        <f t="shared" si="132"/>
        <v>1</v>
      </c>
      <c r="L487" s="21">
        <f t="shared" si="133"/>
        <v>1</v>
      </c>
      <c r="M487" s="21">
        <f t="shared" si="134"/>
        <v>1</v>
      </c>
      <c r="N487" s="21">
        <f t="shared" si="135"/>
        <v>1</v>
      </c>
      <c r="O487" s="21">
        <f t="shared" si="136"/>
        <v>1</v>
      </c>
      <c r="P487" s="21">
        <f t="shared" si="137"/>
        <v>1</v>
      </c>
      <c r="Q487" s="21">
        <f t="shared" si="138"/>
        <v>1</v>
      </c>
      <c r="R487" s="21">
        <f t="shared" si="139"/>
        <v>1</v>
      </c>
      <c r="S487" s="21">
        <f t="shared" si="140"/>
        <v>1</v>
      </c>
      <c r="T487" s="21">
        <f t="shared" si="141"/>
        <v>1</v>
      </c>
      <c r="U487" s="21">
        <f t="shared" si="142"/>
        <v>1</v>
      </c>
      <c r="V487" s="21">
        <f t="shared" si="143"/>
        <v>1</v>
      </c>
    </row>
    <row r="488" spans="1:22" x14ac:dyDescent="0.25">
      <c r="A488">
        <f>Tabelle2!A504</f>
        <v>0</v>
      </c>
      <c r="B488">
        <f>Tabelle2!$N504+(B$11*Tabelle2!$O504)</f>
        <v>0</v>
      </c>
      <c r="C488">
        <f>Tabelle2!$N504+(C$11*Tabelle2!$O504)</f>
        <v>0</v>
      </c>
      <c r="D488">
        <f>Tabelle2!$N504+(D$11*Tabelle2!$O504)</f>
        <v>0</v>
      </c>
      <c r="E488" s="21">
        <f t="shared" si="126"/>
        <v>1</v>
      </c>
      <c r="F488" s="21">
        <f t="shared" si="127"/>
        <v>1</v>
      </c>
      <c r="G488" s="21">
        <f t="shared" si="128"/>
        <v>1</v>
      </c>
      <c r="H488" s="21">
        <f t="shared" si="129"/>
        <v>1</v>
      </c>
      <c r="I488" s="21">
        <f t="shared" si="130"/>
        <v>1</v>
      </c>
      <c r="J488" s="21">
        <f t="shared" si="131"/>
        <v>1</v>
      </c>
      <c r="K488" s="21">
        <f t="shared" si="132"/>
        <v>1</v>
      </c>
      <c r="L488" s="21">
        <f t="shared" si="133"/>
        <v>1</v>
      </c>
      <c r="M488" s="21">
        <f t="shared" si="134"/>
        <v>1</v>
      </c>
      <c r="N488" s="21">
        <f t="shared" si="135"/>
        <v>1</v>
      </c>
      <c r="O488" s="21">
        <f t="shared" si="136"/>
        <v>1</v>
      </c>
      <c r="P488" s="21">
        <f t="shared" si="137"/>
        <v>1</v>
      </c>
      <c r="Q488" s="21">
        <f t="shared" si="138"/>
        <v>1</v>
      </c>
      <c r="R488" s="21">
        <f t="shared" si="139"/>
        <v>1</v>
      </c>
      <c r="S488" s="21">
        <f t="shared" si="140"/>
        <v>1</v>
      </c>
      <c r="T488" s="21">
        <f t="shared" si="141"/>
        <v>1</v>
      </c>
      <c r="U488" s="21">
        <f t="shared" si="142"/>
        <v>1</v>
      </c>
      <c r="V488" s="21">
        <f t="shared" si="143"/>
        <v>1</v>
      </c>
    </row>
    <row r="489" spans="1:22" x14ac:dyDescent="0.25">
      <c r="A489">
        <f>Tabelle2!A505</f>
        <v>0</v>
      </c>
      <c r="B489">
        <f>Tabelle2!$N505+(B$11*Tabelle2!$O505)</f>
        <v>0</v>
      </c>
      <c r="C489">
        <f>Tabelle2!$N505+(C$11*Tabelle2!$O505)</f>
        <v>0</v>
      </c>
      <c r="D489">
        <f>Tabelle2!$N505+(D$11*Tabelle2!$O505)</f>
        <v>0</v>
      </c>
      <c r="E489" s="21">
        <f t="shared" si="126"/>
        <v>1</v>
      </c>
      <c r="F489" s="21">
        <f t="shared" si="127"/>
        <v>1</v>
      </c>
      <c r="G489" s="21">
        <f t="shared" si="128"/>
        <v>1</v>
      </c>
      <c r="H489" s="21">
        <f t="shared" si="129"/>
        <v>1</v>
      </c>
      <c r="I489" s="21">
        <f t="shared" si="130"/>
        <v>1</v>
      </c>
      <c r="J489" s="21">
        <f t="shared" si="131"/>
        <v>1</v>
      </c>
      <c r="K489" s="21">
        <f t="shared" si="132"/>
        <v>1</v>
      </c>
      <c r="L489" s="21">
        <f t="shared" si="133"/>
        <v>1</v>
      </c>
      <c r="M489" s="21">
        <f t="shared" si="134"/>
        <v>1</v>
      </c>
      <c r="N489" s="21">
        <f t="shared" si="135"/>
        <v>1</v>
      </c>
      <c r="O489" s="21">
        <f t="shared" si="136"/>
        <v>1</v>
      </c>
      <c r="P489" s="21">
        <f t="shared" si="137"/>
        <v>1</v>
      </c>
      <c r="Q489" s="21">
        <f t="shared" si="138"/>
        <v>1</v>
      </c>
      <c r="R489" s="21">
        <f t="shared" si="139"/>
        <v>1</v>
      </c>
      <c r="S489" s="21">
        <f t="shared" si="140"/>
        <v>1</v>
      </c>
      <c r="T489" s="21">
        <f t="shared" si="141"/>
        <v>1</v>
      </c>
      <c r="U489" s="21">
        <f t="shared" si="142"/>
        <v>1</v>
      </c>
      <c r="V489" s="21">
        <f t="shared" si="143"/>
        <v>1</v>
      </c>
    </row>
    <row r="490" spans="1:22" x14ac:dyDescent="0.25">
      <c r="A490">
        <f>Tabelle2!A506</f>
        <v>0</v>
      </c>
      <c r="B490">
        <f>Tabelle2!$N506+(B$11*Tabelle2!$O506)</f>
        <v>0</v>
      </c>
      <c r="C490">
        <f>Tabelle2!$N506+(C$11*Tabelle2!$O506)</f>
        <v>0</v>
      </c>
      <c r="D490">
        <f>Tabelle2!$N506+(D$11*Tabelle2!$O506)</f>
        <v>0</v>
      </c>
      <c r="E490" s="21">
        <f t="shared" si="126"/>
        <v>1</v>
      </c>
      <c r="F490" s="21">
        <f t="shared" si="127"/>
        <v>1</v>
      </c>
      <c r="G490" s="21">
        <f t="shared" si="128"/>
        <v>1</v>
      </c>
      <c r="H490" s="21">
        <f t="shared" si="129"/>
        <v>1</v>
      </c>
      <c r="I490" s="21">
        <f t="shared" si="130"/>
        <v>1</v>
      </c>
      <c r="J490" s="21">
        <f t="shared" si="131"/>
        <v>1</v>
      </c>
      <c r="K490" s="21">
        <f t="shared" si="132"/>
        <v>1</v>
      </c>
      <c r="L490" s="21">
        <f t="shared" si="133"/>
        <v>1</v>
      </c>
      <c r="M490" s="21">
        <f t="shared" si="134"/>
        <v>1</v>
      </c>
      <c r="N490" s="21">
        <f t="shared" si="135"/>
        <v>1</v>
      </c>
      <c r="O490" s="21">
        <f t="shared" si="136"/>
        <v>1</v>
      </c>
      <c r="P490" s="21">
        <f t="shared" si="137"/>
        <v>1</v>
      </c>
      <c r="Q490" s="21">
        <f t="shared" si="138"/>
        <v>1</v>
      </c>
      <c r="R490" s="21">
        <f t="shared" si="139"/>
        <v>1</v>
      </c>
      <c r="S490" s="21">
        <f t="shared" si="140"/>
        <v>1</v>
      </c>
      <c r="T490" s="21">
        <f t="shared" si="141"/>
        <v>1</v>
      </c>
      <c r="U490" s="21">
        <f t="shared" si="142"/>
        <v>1</v>
      </c>
      <c r="V490" s="21">
        <f t="shared" si="143"/>
        <v>1</v>
      </c>
    </row>
    <row r="491" spans="1:22" x14ac:dyDescent="0.25">
      <c r="A491">
        <f>Tabelle2!A507</f>
        <v>0</v>
      </c>
      <c r="B491">
        <f>Tabelle2!$N507+(B$11*Tabelle2!$O507)</f>
        <v>0</v>
      </c>
      <c r="C491">
        <f>Tabelle2!$N507+(C$11*Tabelle2!$O507)</f>
        <v>0</v>
      </c>
      <c r="D491">
        <f>Tabelle2!$N507+(D$11*Tabelle2!$O507)</f>
        <v>0</v>
      </c>
      <c r="E491" s="21">
        <f t="shared" si="126"/>
        <v>1</v>
      </c>
      <c r="F491" s="21">
        <f t="shared" si="127"/>
        <v>1</v>
      </c>
      <c r="G491" s="21">
        <f t="shared" si="128"/>
        <v>1</v>
      </c>
      <c r="H491" s="21">
        <f t="shared" si="129"/>
        <v>1</v>
      </c>
      <c r="I491" s="21">
        <f t="shared" si="130"/>
        <v>1</v>
      </c>
      <c r="J491" s="21">
        <f t="shared" si="131"/>
        <v>1</v>
      </c>
      <c r="K491" s="21">
        <f t="shared" si="132"/>
        <v>1</v>
      </c>
      <c r="L491" s="21">
        <f t="shared" si="133"/>
        <v>1</v>
      </c>
      <c r="M491" s="21">
        <f t="shared" si="134"/>
        <v>1</v>
      </c>
      <c r="N491" s="21">
        <f t="shared" si="135"/>
        <v>1</v>
      </c>
      <c r="O491" s="21">
        <f t="shared" si="136"/>
        <v>1</v>
      </c>
      <c r="P491" s="21">
        <f t="shared" si="137"/>
        <v>1</v>
      </c>
      <c r="Q491" s="21">
        <f t="shared" si="138"/>
        <v>1</v>
      </c>
      <c r="R491" s="21">
        <f t="shared" si="139"/>
        <v>1</v>
      </c>
      <c r="S491" s="21">
        <f t="shared" si="140"/>
        <v>1</v>
      </c>
      <c r="T491" s="21">
        <f t="shared" si="141"/>
        <v>1</v>
      </c>
      <c r="U491" s="21">
        <f t="shared" si="142"/>
        <v>1</v>
      </c>
      <c r="V491" s="21">
        <f t="shared" si="143"/>
        <v>1</v>
      </c>
    </row>
    <row r="492" spans="1:22" x14ac:dyDescent="0.25">
      <c r="A492">
        <f>Tabelle2!A508</f>
        <v>0</v>
      </c>
      <c r="B492">
        <f>Tabelle2!$N508+(B$11*Tabelle2!$O508)</f>
        <v>0</v>
      </c>
      <c r="C492">
        <f>Tabelle2!$N508+(C$11*Tabelle2!$O508)</f>
        <v>0</v>
      </c>
      <c r="D492">
        <f>Tabelle2!$N508+(D$11*Tabelle2!$O508)</f>
        <v>0</v>
      </c>
      <c r="E492" s="21">
        <f t="shared" si="126"/>
        <v>1</v>
      </c>
      <c r="F492" s="21">
        <f t="shared" si="127"/>
        <v>1</v>
      </c>
      <c r="G492" s="21">
        <f t="shared" si="128"/>
        <v>1</v>
      </c>
      <c r="H492" s="21">
        <f t="shared" si="129"/>
        <v>1</v>
      </c>
      <c r="I492" s="21">
        <f t="shared" si="130"/>
        <v>1</v>
      </c>
      <c r="J492" s="21">
        <f t="shared" si="131"/>
        <v>1</v>
      </c>
      <c r="K492" s="21">
        <f t="shared" si="132"/>
        <v>1</v>
      </c>
      <c r="L492" s="21">
        <f t="shared" si="133"/>
        <v>1</v>
      </c>
      <c r="M492" s="21">
        <f t="shared" si="134"/>
        <v>1</v>
      </c>
      <c r="N492" s="21">
        <f t="shared" si="135"/>
        <v>1</v>
      </c>
      <c r="O492" s="21">
        <f t="shared" si="136"/>
        <v>1</v>
      </c>
      <c r="P492" s="21">
        <f t="shared" si="137"/>
        <v>1</v>
      </c>
      <c r="Q492" s="21">
        <f t="shared" si="138"/>
        <v>1</v>
      </c>
      <c r="R492" s="21">
        <f t="shared" si="139"/>
        <v>1</v>
      </c>
      <c r="S492" s="21">
        <f t="shared" si="140"/>
        <v>1</v>
      </c>
      <c r="T492" s="21">
        <f t="shared" si="141"/>
        <v>1</v>
      </c>
      <c r="U492" s="21">
        <f t="shared" si="142"/>
        <v>1</v>
      </c>
      <c r="V492" s="21">
        <f t="shared" si="143"/>
        <v>1</v>
      </c>
    </row>
    <row r="493" spans="1:22" x14ac:dyDescent="0.25">
      <c r="A493">
        <f>Tabelle2!A509</f>
        <v>0</v>
      </c>
      <c r="B493">
        <f>Tabelle2!$N509+(B$11*Tabelle2!$O509)</f>
        <v>0</v>
      </c>
      <c r="C493">
        <f>Tabelle2!$N509+(C$11*Tabelle2!$O509)</f>
        <v>0</v>
      </c>
      <c r="D493">
        <f>Tabelle2!$N509+(D$11*Tabelle2!$O509)</f>
        <v>0</v>
      </c>
      <c r="E493" s="21">
        <f t="shared" si="126"/>
        <v>1</v>
      </c>
      <c r="F493" s="21">
        <f t="shared" si="127"/>
        <v>1</v>
      </c>
      <c r="G493" s="21">
        <f t="shared" si="128"/>
        <v>1</v>
      </c>
      <c r="H493" s="21">
        <f t="shared" si="129"/>
        <v>1</v>
      </c>
      <c r="I493" s="21">
        <f t="shared" si="130"/>
        <v>1</v>
      </c>
      <c r="J493" s="21">
        <f t="shared" si="131"/>
        <v>1</v>
      </c>
      <c r="K493" s="21">
        <f t="shared" si="132"/>
        <v>1</v>
      </c>
      <c r="L493" s="21">
        <f t="shared" si="133"/>
        <v>1</v>
      </c>
      <c r="M493" s="21">
        <f t="shared" si="134"/>
        <v>1</v>
      </c>
      <c r="N493" s="21">
        <f t="shared" si="135"/>
        <v>1</v>
      </c>
      <c r="O493" s="21">
        <f t="shared" si="136"/>
        <v>1</v>
      </c>
      <c r="P493" s="21">
        <f t="shared" si="137"/>
        <v>1</v>
      </c>
      <c r="Q493" s="21">
        <f t="shared" si="138"/>
        <v>1</v>
      </c>
      <c r="R493" s="21">
        <f t="shared" si="139"/>
        <v>1</v>
      </c>
      <c r="S493" s="21">
        <f t="shared" si="140"/>
        <v>1</v>
      </c>
      <c r="T493" s="21">
        <f t="shared" si="141"/>
        <v>1</v>
      </c>
      <c r="U493" s="21">
        <f t="shared" si="142"/>
        <v>1</v>
      </c>
      <c r="V493" s="21">
        <f t="shared" si="143"/>
        <v>1</v>
      </c>
    </row>
    <row r="494" spans="1:22" x14ac:dyDescent="0.25">
      <c r="A494">
        <f>Tabelle2!A510</f>
        <v>0</v>
      </c>
      <c r="B494">
        <f>Tabelle2!$N510+(B$11*Tabelle2!$O510)</f>
        <v>0</v>
      </c>
      <c r="C494">
        <f>Tabelle2!$N510+(C$11*Tabelle2!$O510)</f>
        <v>0</v>
      </c>
      <c r="D494">
        <f>Tabelle2!$N510+(D$11*Tabelle2!$O510)</f>
        <v>0</v>
      </c>
      <c r="E494" s="21">
        <f t="shared" si="126"/>
        <v>1</v>
      </c>
      <c r="F494" s="21">
        <f t="shared" si="127"/>
        <v>1</v>
      </c>
      <c r="G494" s="21">
        <f t="shared" si="128"/>
        <v>1</v>
      </c>
      <c r="H494" s="21">
        <f t="shared" si="129"/>
        <v>1</v>
      </c>
      <c r="I494" s="21">
        <f t="shared" si="130"/>
        <v>1</v>
      </c>
      <c r="J494" s="21">
        <f t="shared" si="131"/>
        <v>1</v>
      </c>
      <c r="K494" s="21">
        <f t="shared" si="132"/>
        <v>1</v>
      </c>
      <c r="L494" s="21">
        <f t="shared" si="133"/>
        <v>1</v>
      </c>
      <c r="M494" s="21">
        <f t="shared" si="134"/>
        <v>1</v>
      </c>
      <c r="N494" s="21">
        <f t="shared" si="135"/>
        <v>1</v>
      </c>
      <c r="O494" s="21">
        <f t="shared" si="136"/>
        <v>1</v>
      </c>
      <c r="P494" s="21">
        <f t="shared" si="137"/>
        <v>1</v>
      </c>
      <c r="Q494" s="21">
        <f t="shared" si="138"/>
        <v>1</v>
      </c>
      <c r="R494" s="21">
        <f t="shared" si="139"/>
        <v>1</v>
      </c>
      <c r="S494" s="21">
        <f t="shared" si="140"/>
        <v>1</v>
      </c>
      <c r="T494" s="21">
        <f t="shared" si="141"/>
        <v>1</v>
      </c>
      <c r="U494" s="21">
        <f t="shared" si="142"/>
        <v>1</v>
      </c>
      <c r="V494" s="21">
        <f t="shared" si="143"/>
        <v>1</v>
      </c>
    </row>
    <row r="495" spans="1:22" x14ac:dyDescent="0.25">
      <c r="A495">
        <f>Tabelle2!A511</f>
        <v>0</v>
      </c>
      <c r="B495">
        <f>Tabelle2!$N511+(B$11*Tabelle2!$O511)</f>
        <v>0</v>
      </c>
      <c r="C495">
        <f>Tabelle2!$N511+(C$11*Tabelle2!$O511)</f>
        <v>0</v>
      </c>
      <c r="D495">
        <f>Tabelle2!$N511+(D$11*Tabelle2!$O511)</f>
        <v>0</v>
      </c>
      <c r="E495" s="21">
        <f t="shared" si="126"/>
        <v>1</v>
      </c>
      <c r="F495" s="21">
        <f t="shared" si="127"/>
        <v>1</v>
      </c>
      <c r="G495" s="21">
        <f t="shared" si="128"/>
        <v>1</v>
      </c>
      <c r="H495" s="21">
        <f t="shared" si="129"/>
        <v>1</v>
      </c>
      <c r="I495" s="21">
        <f t="shared" si="130"/>
        <v>1</v>
      </c>
      <c r="J495" s="21">
        <f t="shared" si="131"/>
        <v>1</v>
      </c>
      <c r="K495" s="21">
        <f t="shared" si="132"/>
        <v>1</v>
      </c>
      <c r="L495" s="21">
        <f t="shared" si="133"/>
        <v>1</v>
      </c>
      <c r="M495" s="21">
        <f t="shared" si="134"/>
        <v>1</v>
      </c>
      <c r="N495" s="21">
        <f t="shared" si="135"/>
        <v>1</v>
      </c>
      <c r="O495" s="21">
        <f t="shared" si="136"/>
        <v>1</v>
      </c>
      <c r="P495" s="21">
        <f t="shared" si="137"/>
        <v>1</v>
      </c>
      <c r="Q495" s="21">
        <f t="shared" si="138"/>
        <v>1</v>
      </c>
      <c r="R495" s="21">
        <f t="shared" si="139"/>
        <v>1</v>
      </c>
      <c r="S495" s="21">
        <f t="shared" si="140"/>
        <v>1</v>
      </c>
      <c r="T495" s="21">
        <f t="shared" si="141"/>
        <v>1</v>
      </c>
      <c r="U495" s="21">
        <f t="shared" si="142"/>
        <v>1</v>
      </c>
      <c r="V495" s="21">
        <f t="shared" si="143"/>
        <v>1</v>
      </c>
    </row>
    <row r="496" spans="1:22" x14ac:dyDescent="0.25">
      <c r="A496">
        <f>Tabelle2!A512</f>
        <v>0</v>
      </c>
      <c r="B496">
        <f>Tabelle2!$N512+(B$11*Tabelle2!$O512)</f>
        <v>0</v>
      </c>
      <c r="C496">
        <f>Tabelle2!$N512+(C$11*Tabelle2!$O512)</f>
        <v>0</v>
      </c>
      <c r="D496">
        <f>Tabelle2!$N512+(D$11*Tabelle2!$O512)</f>
        <v>0</v>
      </c>
      <c r="E496" s="21">
        <f t="shared" si="126"/>
        <v>1</v>
      </c>
      <c r="F496" s="21">
        <f t="shared" si="127"/>
        <v>1</v>
      </c>
      <c r="G496" s="21">
        <f t="shared" si="128"/>
        <v>1</v>
      </c>
      <c r="H496" s="21">
        <f t="shared" si="129"/>
        <v>1</v>
      </c>
      <c r="I496" s="21">
        <f t="shared" si="130"/>
        <v>1</v>
      </c>
      <c r="J496" s="21">
        <f t="shared" si="131"/>
        <v>1</v>
      </c>
      <c r="K496" s="21">
        <f t="shared" si="132"/>
        <v>1</v>
      </c>
      <c r="L496" s="21">
        <f t="shared" si="133"/>
        <v>1</v>
      </c>
      <c r="M496" s="21">
        <f t="shared" si="134"/>
        <v>1</v>
      </c>
      <c r="N496" s="21">
        <f t="shared" si="135"/>
        <v>1</v>
      </c>
      <c r="O496" s="21">
        <f t="shared" si="136"/>
        <v>1</v>
      </c>
      <c r="P496" s="21">
        <f t="shared" si="137"/>
        <v>1</v>
      </c>
      <c r="Q496" s="21">
        <f t="shared" si="138"/>
        <v>1</v>
      </c>
      <c r="R496" s="21">
        <f t="shared" si="139"/>
        <v>1</v>
      </c>
      <c r="S496" s="21">
        <f t="shared" si="140"/>
        <v>1</v>
      </c>
      <c r="T496" s="21">
        <f t="shared" si="141"/>
        <v>1</v>
      </c>
      <c r="U496" s="21">
        <f t="shared" si="142"/>
        <v>1</v>
      </c>
      <c r="V496" s="21">
        <f t="shared" si="143"/>
        <v>1</v>
      </c>
    </row>
    <row r="497" spans="1:22" x14ac:dyDescent="0.25">
      <c r="A497">
        <f>Tabelle2!A513</f>
        <v>0</v>
      </c>
      <c r="B497">
        <f>Tabelle2!$N513+(B$11*Tabelle2!$O513)</f>
        <v>0</v>
      </c>
      <c r="C497">
        <f>Tabelle2!$N513+(C$11*Tabelle2!$O513)</f>
        <v>0</v>
      </c>
      <c r="D497">
        <f>Tabelle2!$N513+(D$11*Tabelle2!$O513)</f>
        <v>0</v>
      </c>
      <c r="E497" s="21">
        <f t="shared" si="126"/>
        <v>1</v>
      </c>
      <c r="F497" s="21">
        <f t="shared" si="127"/>
        <v>1</v>
      </c>
      <c r="G497" s="21">
        <f t="shared" si="128"/>
        <v>1</v>
      </c>
      <c r="H497" s="21">
        <f t="shared" si="129"/>
        <v>1</v>
      </c>
      <c r="I497" s="21">
        <f t="shared" si="130"/>
        <v>1</v>
      </c>
      <c r="J497" s="21">
        <f t="shared" si="131"/>
        <v>1</v>
      </c>
      <c r="K497" s="21">
        <f t="shared" si="132"/>
        <v>1</v>
      </c>
      <c r="L497" s="21">
        <f t="shared" si="133"/>
        <v>1</v>
      </c>
      <c r="M497" s="21">
        <f t="shared" si="134"/>
        <v>1</v>
      </c>
      <c r="N497" s="21">
        <f t="shared" si="135"/>
        <v>1</v>
      </c>
      <c r="O497" s="21">
        <f t="shared" si="136"/>
        <v>1</v>
      </c>
      <c r="P497" s="21">
        <f t="shared" si="137"/>
        <v>1</v>
      </c>
      <c r="Q497" s="21">
        <f t="shared" si="138"/>
        <v>1</v>
      </c>
      <c r="R497" s="21">
        <f t="shared" si="139"/>
        <v>1</v>
      </c>
      <c r="S497" s="21">
        <f t="shared" si="140"/>
        <v>1</v>
      </c>
      <c r="T497" s="21">
        <f t="shared" si="141"/>
        <v>1</v>
      </c>
      <c r="U497" s="21">
        <f t="shared" si="142"/>
        <v>1</v>
      </c>
      <c r="V497" s="21">
        <f t="shared" si="143"/>
        <v>1</v>
      </c>
    </row>
    <row r="498" spans="1:22" x14ac:dyDescent="0.25">
      <c r="A498">
        <f>Tabelle2!A514</f>
        <v>0</v>
      </c>
      <c r="B498">
        <f>Tabelle2!$N514+(B$11*Tabelle2!$O514)</f>
        <v>0</v>
      </c>
      <c r="C498">
        <f>Tabelle2!$N514+(C$11*Tabelle2!$O514)</f>
        <v>0</v>
      </c>
      <c r="D498">
        <f>Tabelle2!$N514+(D$11*Tabelle2!$O514)</f>
        <v>0</v>
      </c>
      <c r="E498" s="21">
        <f t="shared" si="126"/>
        <v>1</v>
      </c>
      <c r="F498" s="21">
        <f t="shared" si="127"/>
        <v>1</v>
      </c>
      <c r="G498" s="21">
        <f t="shared" si="128"/>
        <v>1</v>
      </c>
      <c r="H498" s="21">
        <f t="shared" si="129"/>
        <v>1</v>
      </c>
      <c r="I498" s="21">
        <f t="shared" si="130"/>
        <v>1</v>
      </c>
      <c r="J498" s="21">
        <f t="shared" si="131"/>
        <v>1</v>
      </c>
      <c r="K498" s="21">
        <f t="shared" si="132"/>
        <v>1</v>
      </c>
      <c r="L498" s="21">
        <f t="shared" si="133"/>
        <v>1</v>
      </c>
      <c r="M498" s="21">
        <f t="shared" si="134"/>
        <v>1</v>
      </c>
      <c r="N498" s="21">
        <f t="shared" si="135"/>
        <v>1</v>
      </c>
      <c r="O498" s="21">
        <f t="shared" si="136"/>
        <v>1</v>
      </c>
      <c r="P498" s="21">
        <f t="shared" si="137"/>
        <v>1</v>
      </c>
      <c r="Q498" s="21">
        <f t="shared" si="138"/>
        <v>1</v>
      </c>
      <c r="R498" s="21">
        <f t="shared" si="139"/>
        <v>1</v>
      </c>
      <c r="S498" s="21">
        <f t="shared" si="140"/>
        <v>1</v>
      </c>
      <c r="T498" s="21">
        <f t="shared" si="141"/>
        <v>1</v>
      </c>
      <c r="U498" s="21">
        <f t="shared" si="142"/>
        <v>1</v>
      </c>
      <c r="V498" s="21">
        <f t="shared" si="143"/>
        <v>1</v>
      </c>
    </row>
    <row r="499" spans="1:22" x14ac:dyDescent="0.25">
      <c r="A499">
        <f>Tabelle2!A515</f>
        <v>0</v>
      </c>
      <c r="B499">
        <f>Tabelle2!$N515+(B$11*Tabelle2!$O515)</f>
        <v>0</v>
      </c>
      <c r="C499">
        <f>Tabelle2!$N515+(C$11*Tabelle2!$O515)</f>
        <v>0</v>
      </c>
      <c r="D499">
        <f>Tabelle2!$N515+(D$11*Tabelle2!$O515)</f>
        <v>0</v>
      </c>
      <c r="E499" s="21">
        <f t="shared" si="126"/>
        <v>1</v>
      </c>
      <c r="F499" s="21">
        <f t="shared" si="127"/>
        <v>1</v>
      </c>
      <c r="G499" s="21">
        <f t="shared" si="128"/>
        <v>1</v>
      </c>
      <c r="H499" s="21">
        <f t="shared" si="129"/>
        <v>1</v>
      </c>
      <c r="I499" s="21">
        <f t="shared" si="130"/>
        <v>1</v>
      </c>
      <c r="J499" s="21">
        <f t="shared" si="131"/>
        <v>1</v>
      </c>
      <c r="K499" s="21">
        <f t="shared" si="132"/>
        <v>1</v>
      </c>
      <c r="L499" s="21">
        <f t="shared" si="133"/>
        <v>1</v>
      </c>
      <c r="M499" s="21">
        <f t="shared" si="134"/>
        <v>1</v>
      </c>
      <c r="N499" s="21">
        <f t="shared" si="135"/>
        <v>1</v>
      </c>
      <c r="O499" s="21">
        <f t="shared" si="136"/>
        <v>1</v>
      </c>
      <c r="P499" s="21">
        <f t="shared" si="137"/>
        <v>1</v>
      </c>
      <c r="Q499" s="21">
        <f t="shared" si="138"/>
        <v>1</v>
      </c>
      <c r="R499" s="21">
        <f t="shared" si="139"/>
        <v>1</v>
      </c>
      <c r="S499" s="21">
        <f t="shared" si="140"/>
        <v>1</v>
      </c>
      <c r="T499" s="21">
        <f t="shared" si="141"/>
        <v>1</v>
      </c>
      <c r="U499" s="21">
        <f t="shared" si="142"/>
        <v>1</v>
      </c>
      <c r="V499" s="21">
        <f t="shared" si="143"/>
        <v>1</v>
      </c>
    </row>
    <row r="500" spans="1:22" x14ac:dyDescent="0.25">
      <c r="A500">
        <f>Tabelle2!A516</f>
        <v>0</v>
      </c>
      <c r="B500">
        <f>Tabelle2!$N516+(B$11*Tabelle2!$O516)</f>
        <v>0</v>
      </c>
      <c r="C500">
        <f>Tabelle2!$N516+(C$11*Tabelle2!$O516)</f>
        <v>0</v>
      </c>
      <c r="D500">
        <f>Tabelle2!$N516+(D$11*Tabelle2!$O516)</f>
        <v>0</v>
      </c>
      <c r="E500" s="21">
        <f t="shared" si="126"/>
        <v>1</v>
      </c>
      <c r="F500" s="21">
        <f t="shared" si="127"/>
        <v>1</v>
      </c>
      <c r="G500" s="21">
        <f t="shared" si="128"/>
        <v>1</v>
      </c>
      <c r="H500" s="21">
        <f t="shared" si="129"/>
        <v>1</v>
      </c>
      <c r="I500" s="21">
        <f t="shared" si="130"/>
        <v>1</v>
      </c>
      <c r="J500" s="21">
        <f t="shared" si="131"/>
        <v>1</v>
      </c>
      <c r="K500" s="21">
        <f t="shared" si="132"/>
        <v>1</v>
      </c>
      <c r="L500" s="21">
        <f t="shared" si="133"/>
        <v>1</v>
      </c>
      <c r="M500" s="21">
        <f t="shared" si="134"/>
        <v>1</v>
      </c>
      <c r="N500" s="21">
        <f t="shared" si="135"/>
        <v>1</v>
      </c>
      <c r="O500" s="21">
        <f t="shared" si="136"/>
        <v>1</v>
      </c>
      <c r="P500" s="21">
        <f t="shared" si="137"/>
        <v>1</v>
      </c>
      <c r="Q500" s="21">
        <f t="shared" si="138"/>
        <v>1</v>
      </c>
      <c r="R500" s="21">
        <f t="shared" si="139"/>
        <v>1</v>
      </c>
      <c r="S500" s="21">
        <f t="shared" si="140"/>
        <v>1</v>
      </c>
      <c r="T500" s="21">
        <f t="shared" si="141"/>
        <v>1</v>
      </c>
      <c r="U500" s="21">
        <f t="shared" si="142"/>
        <v>1</v>
      </c>
      <c r="V500" s="21">
        <f t="shared" si="143"/>
        <v>1</v>
      </c>
    </row>
    <row r="501" spans="1:22" x14ac:dyDescent="0.25">
      <c r="A501">
        <f>Tabelle2!A517</f>
        <v>0</v>
      </c>
      <c r="B501">
        <f>Tabelle2!$N517+(B$11*Tabelle2!$O517)</f>
        <v>0</v>
      </c>
      <c r="C501">
        <f>Tabelle2!$N517+(C$11*Tabelle2!$O517)</f>
        <v>0</v>
      </c>
      <c r="D501">
        <f>Tabelle2!$N517+(D$11*Tabelle2!$O517)</f>
        <v>0</v>
      </c>
      <c r="E501" s="21">
        <f t="shared" si="126"/>
        <v>1</v>
      </c>
      <c r="F501" s="21">
        <f t="shared" si="127"/>
        <v>1</v>
      </c>
      <c r="G501" s="21">
        <f t="shared" si="128"/>
        <v>1</v>
      </c>
      <c r="H501" s="21">
        <f t="shared" si="129"/>
        <v>1</v>
      </c>
      <c r="I501" s="21">
        <f t="shared" si="130"/>
        <v>1</v>
      </c>
      <c r="J501" s="21">
        <f t="shared" si="131"/>
        <v>1</v>
      </c>
      <c r="K501" s="21">
        <f t="shared" si="132"/>
        <v>1</v>
      </c>
      <c r="L501" s="21">
        <f t="shared" si="133"/>
        <v>1</v>
      </c>
      <c r="M501" s="21">
        <f t="shared" si="134"/>
        <v>1</v>
      </c>
      <c r="N501" s="21">
        <f t="shared" si="135"/>
        <v>1</v>
      </c>
      <c r="O501" s="21">
        <f t="shared" si="136"/>
        <v>1</v>
      </c>
      <c r="P501" s="21">
        <f t="shared" si="137"/>
        <v>1</v>
      </c>
      <c r="Q501" s="21">
        <f t="shared" si="138"/>
        <v>1</v>
      </c>
      <c r="R501" s="21">
        <f t="shared" si="139"/>
        <v>1</v>
      </c>
      <c r="S501" s="21">
        <f t="shared" si="140"/>
        <v>1</v>
      </c>
      <c r="T501" s="21">
        <f t="shared" si="141"/>
        <v>1</v>
      </c>
      <c r="U501" s="21">
        <f t="shared" si="142"/>
        <v>1</v>
      </c>
      <c r="V501" s="21">
        <f t="shared" si="143"/>
        <v>1</v>
      </c>
    </row>
    <row r="502" spans="1:22" x14ac:dyDescent="0.25">
      <c r="A502">
        <f>Tabelle2!A518</f>
        <v>0</v>
      </c>
      <c r="B502">
        <f>Tabelle2!$N518+(B$11*Tabelle2!$O518)</f>
        <v>0</v>
      </c>
      <c r="C502">
        <f>Tabelle2!$N518+(C$11*Tabelle2!$O518)</f>
        <v>0</v>
      </c>
      <c r="D502">
        <f>Tabelle2!$N518+(D$11*Tabelle2!$O518)</f>
        <v>0</v>
      </c>
      <c r="E502" s="21">
        <f t="shared" si="126"/>
        <v>1</v>
      </c>
      <c r="F502" s="21">
        <f t="shared" si="127"/>
        <v>1</v>
      </c>
      <c r="G502" s="21">
        <f t="shared" si="128"/>
        <v>1</v>
      </c>
      <c r="H502" s="21">
        <f t="shared" si="129"/>
        <v>1</v>
      </c>
      <c r="I502" s="21">
        <f t="shared" si="130"/>
        <v>1</v>
      </c>
      <c r="J502" s="21">
        <f t="shared" si="131"/>
        <v>1</v>
      </c>
      <c r="K502" s="21">
        <f t="shared" si="132"/>
        <v>1</v>
      </c>
      <c r="L502" s="21">
        <f t="shared" si="133"/>
        <v>1</v>
      </c>
      <c r="M502" s="21">
        <f t="shared" si="134"/>
        <v>1</v>
      </c>
      <c r="N502" s="21">
        <f t="shared" si="135"/>
        <v>1</v>
      </c>
      <c r="O502" s="21">
        <f t="shared" si="136"/>
        <v>1</v>
      </c>
      <c r="P502" s="21">
        <f t="shared" si="137"/>
        <v>1</v>
      </c>
      <c r="Q502" s="21">
        <f t="shared" si="138"/>
        <v>1</v>
      </c>
      <c r="R502" s="21">
        <f t="shared" si="139"/>
        <v>1</v>
      </c>
      <c r="S502" s="21">
        <f t="shared" si="140"/>
        <v>1</v>
      </c>
      <c r="T502" s="21">
        <f t="shared" si="141"/>
        <v>1</v>
      </c>
      <c r="U502" s="21">
        <f t="shared" si="142"/>
        <v>1</v>
      </c>
      <c r="V502" s="21">
        <f t="shared" si="143"/>
        <v>1</v>
      </c>
    </row>
    <row r="503" spans="1:22" x14ac:dyDescent="0.25">
      <c r="A503">
        <f>Tabelle2!A519</f>
        <v>0</v>
      </c>
      <c r="B503">
        <f>Tabelle2!$N519+(B$11*Tabelle2!$O519)</f>
        <v>0</v>
      </c>
      <c r="C503">
        <f>Tabelle2!$N519+(C$11*Tabelle2!$O519)</f>
        <v>0</v>
      </c>
      <c r="D503">
        <f>Tabelle2!$N519+(D$11*Tabelle2!$O519)</f>
        <v>0</v>
      </c>
      <c r="E503" s="21">
        <f t="shared" si="126"/>
        <v>1</v>
      </c>
      <c r="F503" s="21">
        <f t="shared" si="127"/>
        <v>1</v>
      </c>
      <c r="G503" s="21">
        <f t="shared" si="128"/>
        <v>1</v>
      </c>
      <c r="H503" s="21">
        <f t="shared" si="129"/>
        <v>1</v>
      </c>
      <c r="I503" s="21">
        <f t="shared" si="130"/>
        <v>1</v>
      </c>
      <c r="J503" s="21">
        <f t="shared" si="131"/>
        <v>1</v>
      </c>
      <c r="K503" s="21">
        <f t="shared" si="132"/>
        <v>1</v>
      </c>
      <c r="L503" s="21">
        <f t="shared" si="133"/>
        <v>1</v>
      </c>
      <c r="M503" s="21">
        <f t="shared" si="134"/>
        <v>1</v>
      </c>
      <c r="N503" s="21">
        <f t="shared" si="135"/>
        <v>1</v>
      </c>
      <c r="O503" s="21">
        <f t="shared" si="136"/>
        <v>1</v>
      </c>
      <c r="P503" s="21">
        <f t="shared" si="137"/>
        <v>1</v>
      </c>
      <c r="Q503" s="21">
        <f t="shared" si="138"/>
        <v>1</v>
      </c>
      <c r="R503" s="21">
        <f t="shared" si="139"/>
        <v>1</v>
      </c>
      <c r="S503" s="21">
        <f t="shared" si="140"/>
        <v>1</v>
      </c>
      <c r="T503" s="21">
        <f t="shared" si="141"/>
        <v>1</v>
      </c>
      <c r="U503" s="21">
        <f t="shared" si="142"/>
        <v>1</v>
      </c>
      <c r="V503" s="21">
        <f t="shared" si="143"/>
        <v>1</v>
      </c>
    </row>
    <row r="504" spans="1:22" x14ac:dyDescent="0.25">
      <c r="A504">
        <f>Tabelle2!A520</f>
        <v>0</v>
      </c>
      <c r="B504">
        <f>Tabelle2!$N520+(B$11*Tabelle2!$O520)</f>
        <v>0</v>
      </c>
      <c r="C504">
        <f>Tabelle2!$N520+(C$11*Tabelle2!$O520)</f>
        <v>0</v>
      </c>
      <c r="D504">
        <f>Tabelle2!$N520+(D$11*Tabelle2!$O520)</f>
        <v>0</v>
      </c>
      <c r="E504" s="21">
        <f t="shared" si="126"/>
        <v>1</v>
      </c>
      <c r="F504" s="21">
        <f t="shared" si="127"/>
        <v>1</v>
      </c>
      <c r="G504" s="21">
        <f t="shared" si="128"/>
        <v>1</v>
      </c>
      <c r="H504" s="21">
        <f t="shared" si="129"/>
        <v>1</v>
      </c>
      <c r="I504" s="21">
        <f t="shared" si="130"/>
        <v>1</v>
      </c>
      <c r="J504" s="21">
        <f t="shared" si="131"/>
        <v>1</v>
      </c>
      <c r="K504" s="21">
        <f t="shared" si="132"/>
        <v>1</v>
      </c>
      <c r="L504" s="21">
        <f t="shared" si="133"/>
        <v>1</v>
      </c>
      <c r="M504" s="21">
        <f t="shared" si="134"/>
        <v>1</v>
      </c>
      <c r="N504" s="21">
        <f t="shared" si="135"/>
        <v>1</v>
      </c>
      <c r="O504" s="21">
        <f t="shared" si="136"/>
        <v>1</v>
      </c>
      <c r="P504" s="21">
        <f t="shared" si="137"/>
        <v>1</v>
      </c>
      <c r="Q504" s="21">
        <f t="shared" si="138"/>
        <v>1</v>
      </c>
      <c r="R504" s="21">
        <f t="shared" si="139"/>
        <v>1</v>
      </c>
      <c r="S504" s="21">
        <f t="shared" si="140"/>
        <v>1</v>
      </c>
      <c r="T504" s="21">
        <f t="shared" si="141"/>
        <v>1</v>
      </c>
      <c r="U504" s="21">
        <f t="shared" si="142"/>
        <v>1</v>
      </c>
      <c r="V504" s="21">
        <f t="shared" si="143"/>
        <v>1</v>
      </c>
    </row>
    <row r="505" spans="1:22" x14ac:dyDescent="0.25">
      <c r="A505">
        <f>Tabelle2!A521</f>
        <v>0</v>
      </c>
      <c r="B505">
        <f>Tabelle2!$N521+(B$11*Tabelle2!$O521)</f>
        <v>0</v>
      </c>
      <c r="C505">
        <f>Tabelle2!$N521+(C$11*Tabelle2!$O521)</f>
        <v>0</v>
      </c>
      <c r="D505">
        <f>Tabelle2!$N521+(D$11*Tabelle2!$O521)</f>
        <v>0</v>
      </c>
      <c r="E505" s="21">
        <f t="shared" si="126"/>
        <v>1</v>
      </c>
      <c r="F505" s="21">
        <f t="shared" si="127"/>
        <v>1</v>
      </c>
      <c r="G505" s="21">
        <f t="shared" si="128"/>
        <v>1</v>
      </c>
      <c r="H505" s="21">
        <f t="shared" si="129"/>
        <v>1</v>
      </c>
      <c r="I505" s="21">
        <f t="shared" si="130"/>
        <v>1</v>
      </c>
      <c r="J505" s="21">
        <f t="shared" si="131"/>
        <v>1</v>
      </c>
      <c r="K505" s="21">
        <f t="shared" si="132"/>
        <v>1</v>
      </c>
      <c r="L505" s="21">
        <f t="shared" si="133"/>
        <v>1</v>
      </c>
      <c r="M505" s="21">
        <f t="shared" si="134"/>
        <v>1</v>
      </c>
      <c r="N505" s="21">
        <f t="shared" si="135"/>
        <v>1</v>
      </c>
      <c r="O505" s="21">
        <f t="shared" si="136"/>
        <v>1</v>
      </c>
      <c r="P505" s="21">
        <f t="shared" si="137"/>
        <v>1</v>
      </c>
      <c r="Q505" s="21">
        <f t="shared" si="138"/>
        <v>1</v>
      </c>
      <c r="R505" s="21">
        <f t="shared" si="139"/>
        <v>1</v>
      </c>
      <c r="S505" s="21">
        <f t="shared" si="140"/>
        <v>1</v>
      </c>
      <c r="T505" s="21">
        <f t="shared" si="141"/>
        <v>1</v>
      </c>
      <c r="U505" s="21">
        <f t="shared" si="142"/>
        <v>1</v>
      </c>
      <c r="V505" s="21">
        <f t="shared" si="143"/>
        <v>1</v>
      </c>
    </row>
    <row r="506" spans="1:22" x14ac:dyDescent="0.25">
      <c r="A506">
        <f>Tabelle2!A522</f>
        <v>0</v>
      </c>
      <c r="B506">
        <f>Tabelle2!$N522+(B$11*Tabelle2!$O522)</f>
        <v>0</v>
      </c>
      <c r="C506">
        <f>Tabelle2!$N522+(C$11*Tabelle2!$O522)</f>
        <v>0</v>
      </c>
      <c r="D506">
        <f>Tabelle2!$N522+(D$11*Tabelle2!$O522)</f>
        <v>0</v>
      </c>
      <c r="E506" s="21">
        <f t="shared" si="126"/>
        <v>1</v>
      </c>
      <c r="F506" s="21">
        <f t="shared" si="127"/>
        <v>1</v>
      </c>
      <c r="G506" s="21">
        <f t="shared" si="128"/>
        <v>1</v>
      </c>
      <c r="H506" s="21">
        <f t="shared" si="129"/>
        <v>1</v>
      </c>
      <c r="I506" s="21">
        <f t="shared" si="130"/>
        <v>1</v>
      </c>
      <c r="J506" s="21">
        <f t="shared" si="131"/>
        <v>1</v>
      </c>
      <c r="K506" s="21">
        <f t="shared" si="132"/>
        <v>1</v>
      </c>
      <c r="L506" s="21">
        <f t="shared" si="133"/>
        <v>1</v>
      </c>
      <c r="M506" s="21">
        <f t="shared" si="134"/>
        <v>1</v>
      </c>
      <c r="N506" s="21">
        <f t="shared" si="135"/>
        <v>1</v>
      </c>
      <c r="O506" s="21">
        <f t="shared" si="136"/>
        <v>1</v>
      </c>
      <c r="P506" s="21">
        <f t="shared" si="137"/>
        <v>1</v>
      </c>
      <c r="Q506" s="21">
        <f t="shared" si="138"/>
        <v>1</v>
      </c>
      <c r="R506" s="21">
        <f t="shared" si="139"/>
        <v>1</v>
      </c>
      <c r="S506" s="21">
        <f t="shared" si="140"/>
        <v>1</v>
      </c>
      <c r="T506" s="21">
        <f t="shared" si="141"/>
        <v>1</v>
      </c>
      <c r="U506" s="21">
        <f t="shared" si="142"/>
        <v>1</v>
      </c>
      <c r="V506" s="21">
        <f t="shared" si="143"/>
        <v>1</v>
      </c>
    </row>
    <row r="507" spans="1:22" x14ac:dyDescent="0.25">
      <c r="A507">
        <f>Tabelle2!A523</f>
        <v>0</v>
      </c>
      <c r="B507">
        <f>Tabelle2!$N523+(B$11*Tabelle2!$O523)</f>
        <v>0</v>
      </c>
      <c r="C507">
        <f>Tabelle2!$N523+(C$11*Tabelle2!$O523)</f>
        <v>0</v>
      </c>
      <c r="D507">
        <f>Tabelle2!$N523+(D$11*Tabelle2!$O523)</f>
        <v>0</v>
      </c>
      <c r="E507" s="21">
        <f t="shared" si="126"/>
        <v>1</v>
      </c>
      <c r="F507" s="21">
        <f t="shared" si="127"/>
        <v>1</v>
      </c>
      <c r="G507" s="21">
        <f t="shared" si="128"/>
        <v>1</v>
      </c>
      <c r="H507" s="21">
        <f t="shared" si="129"/>
        <v>1</v>
      </c>
      <c r="I507" s="21">
        <f t="shared" si="130"/>
        <v>1</v>
      </c>
      <c r="J507" s="21">
        <f t="shared" si="131"/>
        <v>1</v>
      </c>
      <c r="K507" s="21">
        <f t="shared" si="132"/>
        <v>1</v>
      </c>
      <c r="L507" s="21">
        <f t="shared" si="133"/>
        <v>1</v>
      </c>
      <c r="M507" s="21">
        <f t="shared" si="134"/>
        <v>1</v>
      </c>
      <c r="N507" s="21">
        <f t="shared" si="135"/>
        <v>1</v>
      </c>
      <c r="O507" s="21">
        <f t="shared" si="136"/>
        <v>1</v>
      </c>
      <c r="P507" s="21">
        <f t="shared" si="137"/>
        <v>1</v>
      </c>
      <c r="Q507" s="21">
        <f t="shared" si="138"/>
        <v>1</v>
      </c>
      <c r="R507" s="21">
        <f t="shared" si="139"/>
        <v>1</v>
      </c>
      <c r="S507" s="21">
        <f t="shared" si="140"/>
        <v>1</v>
      </c>
      <c r="T507" s="21">
        <f t="shared" si="141"/>
        <v>1</v>
      </c>
      <c r="U507" s="21">
        <f t="shared" si="142"/>
        <v>1</v>
      </c>
      <c r="V507" s="21">
        <f t="shared" si="143"/>
        <v>1</v>
      </c>
    </row>
    <row r="508" spans="1:22" x14ac:dyDescent="0.25">
      <c r="A508">
        <f>Tabelle2!A524</f>
        <v>0</v>
      </c>
      <c r="B508">
        <f>Tabelle2!$N524+(B$11*Tabelle2!$O524)</f>
        <v>0</v>
      </c>
      <c r="C508">
        <f>Tabelle2!$N524+(C$11*Tabelle2!$O524)</f>
        <v>0</v>
      </c>
      <c r="D508">
        <f>Tabelle2!$N524+(D$11*Tabelle2!$O524)</f>
        <v>0</v>
      </c>
      <c r="E508" s="21">
        <f t="shared" si="126"/>
        <v>1</v>
      </c>
      <c r="F508" s="21">
        <f t="shared" si="127"/>
        <v>1</v>
      </c>
      <c r="G508" s="21">
        <f t="shared" si="128"/>
        <v>1</v>
      </c>
      <c r="H508" s="21">
        <f t="shared" si="129"/>
        <v>1</v>
      </c>
      <c r="I508" s="21">
        <f t="shared" si="130"/>
        <v>1</v>
      </c>
      <c r="J508" s="21">
        <f t="shared" si="131"/>
        <v>1</v>
      </c>
      <c r="K508" s="21">
        <f t="shared" si="132"/>
        <v>1</v>
      </c>
      <c r="L508" s="21">
        <f t="shared" si="133"/>
        <v>1</v>
      </c>
      <c r="M508" s="21">
        <f t="shared" si="134"/>
        <v>1</v>
      </c>
      <c r="N508" s="21">
        <f t="shared" si="135"/>
        <v>1</v>
      </c>
      <c r="O508" s="21">
        <f t="shared" si="136"/>
        <v>1</v>
      </c>
      <c r="P508" s="21">
        <f t="shared" si="137"/>
        <v>1</v>
      </c>
      <c r="Q508" s="21">
        <f t="shared" si="138"/>
        <v>1</v>
      </c>
      <c r="R508" s="21">
        <f t="shared" si="139"/>
        <v>1</v>
      </c>
      <c r="S508" s="21">
        <f t="shared" si="140"/>
        <v>1</v>
      </c>
      <c r="T508" s="21">
        <f t="shared" si="141"/>
        <v>1</v>
      </c>
      <c r="U508" s="21">
        <f t="shared" si="142"/>
        <v>1</v>
      </c>
      <c r="V508" s="21">
        <f t="shared" si="143"/>
        <v>1</v>
      </c>
    </row>
    <row r="509" spans="1:22" x14ac:dyDescent="0.25">
      <c r="A509">
        <f>Tabelle2!A525</f>
        <v>0</v>
      </c>
      <c r="B509">
        <f>Tabelle2!$N525+(B$11*Tabelle2!$O525)</f>
        <v>0</v>
      </c>
      <c r="C509">
        <f>Tabelle2!$N525+(C$11*Tabelle2!$O525)</f>
        <v>0</v>
      </c>
      <c r="D509">
        <f>Tabelle2!$N525+(D$11*Tabelle2!$O525)</f>
        <v>0</v>
      </c>
      <c r="E509" s="21">
        <f t="shared" si="126"/>
        <v>1</v>
      </c>
      <c r="F509" s="21">
        <f t="shared" si="127"/>
        <v>1</v>
      </c>
      <c r="G509" s="21">
        <f t="shared" si="128"/>
        <v>1</v>
      </c>
      <c r="H509" s="21">
        <f t="shared" si="129"/>
        <v>1</v>
      </c>
      <c r="I509" s="21">
        <f t="shared" si="130"/>
        <v>1</v>
      </c>
      <c r="J509" s="21">
        <f t="shared" si="131"/>
        <v>1</v>
      </c>
      <c r="K509" s="21">
        <f t="shared" si="132"/>
        <v>1</v>
      </c>
      <c r="L509" s="21">
        <f t="shared" si="133"/>
        <v>1</v>
      </c>
      <c r="M509" s="21">
        <f t="shared" si="134"/>
        <v>1</v>
      </c>
      <c r="N509" s="21">
        <f t="shared" si="135"/>
        <v>1</v>
      </c>
      <c r="O509" s="21">
        <f t="shared" si="136"/>
        <v>1</v>
      </c>
      <c r="P509" s="21">
        <f t="shared" si="137"/>
        <v>1</v>
      </c>
      <c r="Q509" s="21">
        <f t="shared" si="138"/>
        <v>1</v>
      </c>
      <c r="R509" s="21">
        <f t="shared" si="139"/>
        <v>1</v>
      </c>
      <c r="S509" s="21">
        <f t="shared" si="140"/>
        <v>1</v>
      </c>
      <c r="T509" s="21">
        <f t="shared" si="141"/>
        <v>1</v>
      </c>
      <c r="U509" s="21">
        <f t="shared" si="142"/>
        <v>1</v>
      </c>
      <c r="V509" s="21">
        <f t="shared" si="143"/>
        <v>1</v>
      </c>
    </row>
    <row r="510" spans="1:22" x14ac:dyDescent="0.25">
      <c r="A510">
        <f>Tabelle2!A526</f>
        <v>0</v>
      </c>
      <c r="B510">
        <f>Tabelle2!$N526+(B$11*Tabelle2!$O526)</f>
        <v>0</v>
      </c>
      <c r="C510">
        <f>Tabelle2!$N526+(C$11*Tabelle2!$O526)</f>
        <v>0</v>
      </c>
      <c r="D510">
        <f>Tabelle2!$N526+(D$11*Tabelle2!$O526)</f>
        <v>0</v>
      </c>
      <c r="E510" s="21">
        <f t="shared" si="126"/>
        <v>1</v>
      </c>
      <c r="F510" s="21">
        <f t="shared" si="127"/>
        <v>1</v>
      </c>
      <c r="G510" s="21">
        <f t="shared" si="128"/>
        <v>1</v>
      </c>
      <c r="H510" s="21">
        <f t="shared" si="129"/>
        <v>1</v>
      </c>
      <c r="I510" s="21">
        <f t="shared" si="130"/>
        <v>1</v>
      </c>
      <c r="J510" s="21">
        <f t="shared" si="131"/>
        <v>1</v>
      </c>
      <c r="K510" s="21">
        <f t="shared" si="132"/>
        <v>1</v>
      </c>
      <c r="L510" s="21">
        <f t="shared" si="133"/>
        <v>1</v>
      </c>
      <c r="M510" s="21">
        <f t="shared" si="134"/>
        <v>1</v>
      </c>
      <c r="N510" s="21">
        <f t="shared" si="135"/>
        <v>1</v>
      </c>
      <c r="O510" s="21">
        <f t="shared" si="136"/>
        <v>1</v>
      </c>
      <c r="P510" s="21">
        <f t="shared" si="137"/>
        <v>1</v>
      </c>
      <c r="Q510" s="21">
        <f t="shared" si="138"/>
        <v>1</v>
      </c>
      <c r="R510" s="21">
        <f t="shared" si="139"/>
        <v>1</v>
      </c>
      <c r="S510" s="21">
        <f t="shared" si="140"/>
        <v>1</v>
      </c>
      <c r="T510" s="21">
        <f t="shared" si="141"/>
        <v>1</v>
      </c>
      <c r="U510" s="21">
        <f t="shared" si="142"/>
        <v>1</v>
      </c>
      <c r="V510" s="21">
        <f t="shared" si="143"/>
        <v>1</v>
      </c>
    </row>
    <row r="511" spans="1:22" x14ac:dyDescent="0.25">
      <c r="A511">
        <f>Tabelle2!A527</f>
        <v>0</v>
      </c>
      <c r="B511">
        <f>Tabelle2!$N527+(B$11*Tabelle2!$O527)</f>
        <v>0</v>
      </c>
      <c r="C511">
        <f>Tabelle2!$N527+(C$11*Tabelle2!$O527)</f>
        <v>0</v>
      </c>
      <c r="D511">
        <f>Tabelle2!$N527+(D$11*Tabelle2!$O527)</f>
        <v>0</v>
      </c>
      <c r="E511" s="21">
        <f t="shared" si="126"/>
        <v>1</v>
      </c>
      <c r="F511" s="21">
        <f t="shared" si="127"/>
        <v>1</v>
      </c>
      <c r="G511" s="21">
        <f t="shared" si="128"/>
        <v>1</v>
      </c>
      <c r="H511" s="21">
        <f t="shared" si="129"/>
        <v>1</v>
      </c>
      <c r="I511" s="21">
        <f t="shared" si="130"/>
        <v>1</v>
      </c>
      <c r="J511" s="21">
        <f t="shared" si="131"/>
        <v>1</v>
      </c>
      <c r="K511" s="21">
        <f t="shared" si="132"/>
        <v>1</v>
      </c>
      <c r="L511" s="21">
        <f t="shared" si="133"/>
        <v>1</v>
      </c>
      <c r="M511" s="21">
        <f t="shared" si="134"/>
        <v>1</v>
      </c>
      <c r="N511" s="21">
        <f t="shared" si="135"/>
        <v>1</v>
      </c>
      <c r="O511" s="21">
        <f t="shared" si="136"/>
        <v>1</v>
      </c>
      <c r="P511" s="21">
        <f t="shared" si="137"/>
        <v>1</v>
      </c>
      <c r="Q511" s="21">
        <f t="shared" si="138"/>
        <v>1</v>
      </c>
      <c r="R511" s="21">
        <f t="shared" si="139"/>
        <v>1</v>
      </c>
      <c r="S511" s="21">
        <f t="shared" si="140"/>
        <v>1</v>
      </c>
      <c r="T511" s="21">
        <f t="shared" si="141"/>
        <v>1</v>
      </c>
      <c r="U511" s="21">
        <f t="shared" si="142"/>
        <v>1</v>
      </c>
      <c r="V511" s="21">
        <f t="shared" si="143"/>
        <v>1</v>
      </c>
    </row>
    <row r="512" spans="1:22" x14ac:dyDescent="0.25">
      <c r="A512">
        <f>Tabelle2!A528</f>
        <v>0</v>
      </c>
      <c r="B512">
        <f>Tabelle2!$N528+(B$11*Tabelle2!$O528)</f>
        <v>0</v>
      </c>
      <c r="C512">
        <f>Tabelle2!$N528+(C$11*Tabelle2!$O528)</f>
        <v>0</v>
      </c>
      <c r="D512">
        <f>Tabelle2!$N528+(D$11*Tabelle2!$O528)</f>
        <v>0</v>
      </c>
      <c r="E512" s="21">
        <f t="shared" si="126"/>
        <v>1</v>
      </c>
      <c r="F512" s="21">
        <f t="shared" si="127"/>
        <v>1</v>
      </c>
      <c r="G512" s="21">
        <f t="shared" si="128"/>
        <v>1</v>
      </c>
      <c r="H512" s="21">
        <f t="shared" si="129"/>
        <v>1</v>
      </c>
      <c r="I512" s="21">
        <f t="shared" si="130"/>
        <v>1</v>
      </c>
      <c r="J512" s="21">
        <f t="shared" si="131"/>
        <v>1</v>
      </c>
      <c r="K512" s="21">
        <f t="shared" si="132"/>
        <v>1</v>
      </c>
      <c r="L512" s="21">
        <f t="shared" si="133"/>
        <v>1</v>
      </c>
      <c r="M512" s="21">
        <f t="shared" si="134"/>
        <v>1</v>
      </c>
      <c r="N512" s="21">
        <f t="shared" si="135"/>
        <v>1</v>
      </c>
      <c r="O512" s="21">
        <f t="shared" si="136"/>
        <v>1</v>
      </c>
      <c r="P512" s="21">
        <f t="shared" si="137"/>
        <v>1</v>
      </c>
      <c r="Q512" s="21">
        <f t="shared" si="138"/>
        <v>1</v>
      </c>
      <c r="R512" s="21">
        <f t="shared" si="139"/>
        <v>1</v>
      </c>
      <c r="S512" s="21">
        <f t="shared" si="140"/>
        <v>1</v>
      </c>
      <c r="T512" s="21">
        <f t="shared" si="141"/>
        <v>1</v>
      </c>
      <c r="U512" s="21">
        <f t="shared" si="142"/>
        <v>1</v>
      </c>
      <c r="V512" s="21">
        <f t="shared" si="143"/>
        <v>1</v>
      </c>
    </row>
    <row r="513" spans="1:22" x14ac:dyDescent="0.25">
      <c r="A513">
        <f>Tabelle2!A529</f>
        <v>0</v>
      </c>
      <c r="B513">
        <f>Tabelle2!$N529+(B$11*Tabelle2!$O529)</f>
        <v>0</v>
      </c>
      <c r="C513">
        <f>Tabelle2!$N529+(C$11*Tabelle2!$O529)</f>
        <v>0</v>
      </c>
      <c r="D513">
        <f>Tabelle2!$N529+(D$11*Tabelle2!$O529)</f>
        <v>0</v>
      </c>
      <c r="E513" s="21">
        <f t="shared" si="126"/>
        <v>1</v>
      </c>
      <c r="F513" s="21">
        <f t="shared" si="127"/>
        <v>1</v>
      </c>
      <c r="G513" s="21">
        <f t="shared" si="128"/>
        <v>1</v>
      </c>
      <c r="H513" s="21">
        <f t="shared" si="129"/>
        <v>1</v>
      </c>
      <c r="I513" s="21">
        <f t="shared" si="130"/>
        <v>1</v>
      </c>
      <c r="J513" s="21">
        <f t="shared" si="131"/>
        <v>1</v>
      </c>
      <c r="K513" s="21">
        <f t="shared" si="132"/>
        <v>1</v>
      </c>
      <c r="L513" s="21">
        <f t="shared" si="133"/>
        <v>1</v>
      </c>
      <c r="M513" s="21">
        <f t="shared" si="134"/>
        <v>1</v>
      </c>
      <c r="N513" s="21">
        <f t="shared" si="135"/>
        <v>1</v>
      </c>
      <c r="O513" s="21">
        <f t="shared" si="136"/>
        <v>1</v>
      </c>
      <c r="P513" s="21">
        <f t="shared" si="137"/>
        <v>1</v>
      </c>
      <c r="Q513" s="21">
        <f t="shared" si="138"/>
        <v>1</v>
      </c>
      <c r="R513" s="21">
        <f t="shared" si="139"/>
        <v>1</v>
      </c>
      <c r="S513" s="21">
        <f t="shared" si="140"/>
        <v>1</v>
      </c>
      <c r="T513" s="21">
        <f t="shared" si="141"/>
        <v>1</v>
      </c>
      <c r="U513" s="21">
        <f t="shared" si="142"/>
        <v>1</v>
      </c>
      <c r="V513" s="21">
        <f t="shared" si="143"/>
        <v>1</v>
      </c>
    </row>
    <row r="514" spans="1:22" x14ac:dyDescent="0.25">
      <c r="A514">
        <f>Tabelle2!A530</f>
        <v>0</v>
      </c>
      <c r="B514">
        <f>Tabelle2!$N530+(B$11*Tabelle2!$O530)</f>
        <v>0</v>
      </c>
      <c r="C514">
        <f>Tabelle2!$N530+(C$11*Tabelle2!$O530)</f>
        <v>0</v>
      </c>
      <c r="D514">
        <f>Tabelle2!$N530+(D$11*Tabelle2!$O530)</f>
        <v>0</v>
      </c>
      <c r="E514" s="21">
        <f t="shared" si="126"/>
        <v>1</v>
      </c>
      <c r="F514" s="21">
        <f t="shared" si="127"/>
        <v>1</v>
      </c>
      <c r="G514" s="21">
        <f t="shared" si="128"/>
        <v>1</v>
      </c>
      <c r="H514" s="21">
        <f t="shared" si="129"/>
        <v>1</v>
      </c>
      <c r="I514" s="21">
        <f t="shared" si="130"/>
        <v>1</v>
      </c>
      <c r="J514" s="21">
        <f t="shared" si="131"/>
        <v>1</v>
      </c>
      <c r="K514" s="21">
        <f t="shared" si="132"/>
        <v>1</v>
      </c>
      <c r="L514" s="21">
        <f t="shared" si="133"/>
        <v>1</v>
      </c>
      <c r="M514" s="21">
        <f t="shared" si="134"/>
        <v>1</v>
      </c>
      <c r="N514" s="21">
        <f t="shared" si="135"/>
        <v>1</v>
      </c>
      <c r="O514" s="21">
        <f t="shared" si="136"/>
        <v>1</v>
      </c>
      <c r="P514" s="21">
        <f t="shared" si="137"/>
        <v>1</v>
      </c>
      <c r="Q514" s="21">
        <f t="shared" si="138"/>
        <v>1</v>
      </c>
      <c r="R514" s="21">
        <f t="shared" si="139"/>
        <v>1</v>
      </c>
      <c r="S514" s="21">
        <f t="shared" si="140"/>
        <v>1</v>
      </c>
      <c r="T514" s="21">
        <f t="shared" si="141"/>
        <v>1</v>
      </c>
      <c r="U514" s="21">
        <f t="shared" si="142"/>
        <v>1</v>
      </c>
      <c r="V514" s="21">
        <f t="shared" si="143"/>
        <v>1</v>
      </c>
    </row>
    <row r="515" spans="1:22" x14ac:dyDescent="0.25">
      <c r="A515">
        <f>Tabelle2!A531</f>
        <v>0</v>
      </c>
      <c r="B515">
        <f>Tabelle2!$N531+(B$11*Tabelle2!$O531)</f>
        <v>0</v>
      </c>
      <c r="C515">
        <f>Tabelle2!$N531+(C$11*Tabelle2!$O531)</f>
        <v>0</v>
      </c>
      <c r="D515">
        <f>Tabelle2!$N531+(D$11*Tabelle2!$O531)</f>
        <v>0</v>
      </c>
      <c r="E515" s="21">
        <f t="shared" si="126"/>
        <v>1</v>
      </c>
      <c r="F515" s="21">
        <f t="shared" si="127"/>
        <v>1</v>
      </c>
      <c r="G515" s="21">
        <f t="shared" si="128"/>
        <v>1</v>
      </c>
      <c r="H515" s="21">
        <f t="shared" si="129"/>
        <v>1</v>
      </c>
      <c r="I515" s="21">
        <f t="shared" si="130"/>
        <v>1</v>
      </c>
      <c r="J515" s="21">
        <f t="shared" si="131"/>
        <v>1</v>
      </c>
      <c r="K515" s="21">
        <f t="shared" si="132"/>
        <v>1</v>
      </c>
      <c r="L515" s="21">
        <f t="shared" si="133"/>
        <v>1</v>
      </c>
      <c r="M515" s="21">
        <f t="shared" si="134"/>
        <v>1</v>
      </c>
      <c r="N515" s="21">
        <f t="shared" si="135"/>
        <v>1</v>
      </c>
      <c r="O515" s="21">
        <f t="shared" si="136"/>
        <v>1</v>
      </c>
      <c r="P515" s="21">
        <f t="shared" si="137"/>
        <v>1</v>
      </c>
      <c r="Q515" s="21">
        <f t="shared" si="138"/>
        <v>1</v>
      </c>
      <c r="R515" s="21">
        <f t="shared" si="139"/>
        <v>1</v>
      </c>
      <c r="S515" s="21">
        <f t="shared" si="140"/>
        <v>1</v>
      </c>
      <c r="T515" s="21">
        <f t="shared" si="141"/>
        <v>1</v>
      </c>
      <c r="U515" s="21">
        <f t="shared" si="142"/>
        <v>1</v>
      </c>
      <c r="V515" s="21">
        <f t="shared" si="143"/>
        <v>1</v>
      </c>
    </row>
    <row r="516" spans="1:22" x14ac:dyDescent="0.25">
      <c r="A516">
        <f>Tabelle2!A532</f>
        <v>0</v>
      </c>
      <c r="B516">
        <f>Tabelle2!$N532+(B$11*Tabelle2!$O532)</f>
        <v>0</v>
      </c>
      <c r="C516">
        <f>Tabelle2!$N532+(C$11*Tabelle2!$O532)</f>
        <v>0</v>
      </c>
      <c r="D516">
        <f>Tabelle2!$N532+(D$11*Tabelle2!$O532)</f>
        <v>0</v>
      </c>
      <c r="E516" s="21">
        <f t="shared" si="126"/>
        <v>1</v>
      </c>
      <c r="F516" s="21">
        <f t="shared" si="127"/>
        <v>1</v>
      </c>
      <c r="G516" s="21">
        <f t="shared" si="128"/>
        <v>1</v>
      </c>
      <c r="H516" s="21">
        <f t="shared" si="129"/>
        <v>1</v>
      </c>
      <c r="I516" s="21">
        <f t="shared" si="130"/>
        <v>1</v>
      </c>
      <c r="J516" s="21">
        <f t="shared" si="131"/>
        <v>1</v>
      </c>
      <c r="K516" s="21">
        <f t="shared" si="132"/>
        <v>1</v>
      </c>
      <c r="L516" s="21">
        <f t="shared" si="133"/>
        <v>1</v>
      </c>
      <c r="M516" s="21">
        <f t="shared" si="134"/>
        <v>1</v>
      </c>
      <c r="N516" s="21">
        <f t="shared" si="135"/>
        <v>1</v>
      </c>
      <c r="O516" s="21">
        <f t="shared" si="136"/>
        <v>1</v>
      </c>
      <c r="P516" s="21">
        <f t="shared" si="137"/>
        <v>1</v>
      </c>
      <c r="Q516" s="21">
        <f t="shared" si="138"/>
        <v>1</v>
      </c>
      <c r="R516" s="21">
        <f t="shared" si="139"/>
        <v>1</v>
      </c>
      <c r="S516" s="21">
        <f t="shared" si="140"/>
        <v>1</v>
      </c>
      <c r="T516" s="21">
        <f t="shared" si="141"/>
        <v>1</v>
      </c>
      <c r="U516" s="21">
        <f t="shared" si="142"/>
        <v>1</v>
      </c>
      <c r="V516" s="21">
        <f t="shared" si="143"/>
        <v>1</v>
      </c>
    </row>
    <row r="517" spans="1:22" x14ac:dyDescent="0.25">
      <c r="A517">
        <f>Tabelle2!A533</f>
        <v>0</v>
      </c>
      <c r="B517">
        <f>Tabelle2!$N533+(B$11*Tabelle2!$O533)</f>
        <v>0</v>
      </c>
      <c r="C517">
        <f>Tabelle2!$N533+(C$11*Tabelle2!$O533)</f>
        <v>0</v>
      </c>
      <c r="D517">
        <f>Tabelle2!$N533+(D$11*Tabelle2!$O533)</f>
        <v>0</v>
      </c>
      <c r="E517" s="21">
        <f t="shared" si="126"/>
        <v>1</v>
      </c>
      <c r="F517" s="21">
        <f t="shared" si="127"/>
        <v>1</v>
      </c>
      <c r="G517" s="21">
        <f t="shared" si="128"/>
        <v>1</v>
      </c>
      <c r="H517" s="21">
        <f t="shared" si="129"/>
        <v>1</v>
      </c>
      <c r="I517" s="21">
        <f t="shared" si="130"/>
        <v>1</v>
      </c>
      <c r="J517" s="21">
        <f t="shared" si="131"/>
        <v>1</v>
      </c>
      <c r="K517" s="21">
        <f t="shared" si="132"/>
        <v>1</v>
      </c>
      <c r="L517" s="21">
        <f t="shared" si="133"/>
        <v>1</v>
      </c>
      <c r="M517" s="21">
        <f t="shared" si="134"/>
        <v>1</v>
      </c>
      <c r="N517" s="21">
        <f t="shared" si="135"/>
        <v>1</v>
      </c>
      <c r="O517" s="21">
        <f t="shared" si="136"/>
        <v>1</v>
      </c>
      <c r="P517" s="21">
        <f t="shared" si="137"/>
        <v>1</v>
      </c>
      <c r="Q517" s="21">
        <f t="shared" si="138"/>
        <v>1</v>
      </c>
      <c r="R517" s="21">
        <f t="shared" si="139"/>
        <v>1</v>
      </c>
      <c r="S517" s="21">
        <f t="shared" si="140"/>
        <v>1</v>
      </c>
      <c r="T517" s="21">
        <f t="shared" si="141"/>
        <v>1</v>
      </c>
      <c r="U517" s="21">
        <f t="shared" si="142"/>
        <v>1</v>
      </c>
      <c r="V517" s="21">
        <f t="shared" si="143"/>
        <v>1</v>
      </c>
    </row>
    <row r="518" spans="1:22" x14ac:dyDescent="0.25">
      <c r="A518">
        <f>Tabelle2!A534</f>
        <v>0</v>
      </c>
      <c r="B518">
        <f>Tabelle2!$N534+(B$11*Tabelle2!$O534)</f>
        <v>0</v>
      </c>
      <c r="C518">
        <f>Tabelle2!$N534+(C$11*Tabelle2!$O534)</f>
        <v>0</v>
      </c>
      <c r="D518">
        <f>Tabelle2!$N534+(D$11*Tabelle2!$O534)</f>
        <v>0</v>
      </c>
      <c r="E518" s="21">
        <f t="shared" si="126"/>
        <v>1</v>
      </c>
      <c r="F518" s="21">
        <f t="shared" si="127"/>
        <v>1</v>
      </c>
      <c r="G518" s="21">
        <f t="shared" si="128"/>
        <v>1</v>
      </c>
      <c r="H518" s="21">
        <f t="shared" si="129"/>
        <v>1</v>
      </c>
      <c r="I518" s="21">
        <f t="shared" si="130"/>
        <v>1</v>
      </c>
      <c r="J518" s="21">
        <f t="shared" si="131"/>
        <v>1</v>
      </c>
      <c r="K518" s="21">
        <f t="shared" si="132"/>
        <v>1</v>
      </c>
      <c r="L518" s="21">
        <f t="shared" si="133"/>
        <v>1</v>
      </c>
      <c r="M518" s="21">
        <f t="shared" si="134"/>
        <v>1</v>
      </c>
      <c r="N518" s="21">
        <f t="shared" si="135"/>
        <v>1</v>
      </c>
      <c r="O518" s="21">
        <f t="shared" si="136"/>
        <v>1</v>
      </c>
      <c r="P518" s="21">
        <f t="shared" si="137"/>
        <v>1</v>
      </c>
      <c r="Q518" s="21">
        <f t="shared" si="138"/>
        <v>1</v>
      </c>
      <c r="R518" s="21">
        <f t="shared" si="139"/>
        <v>1</v>
      </c>
      <c r="S518" s="21">
        <f t="shared" si="140"/>
        <v>1</v>
      </c>
      <c r="T518" s="21">
        <f t="shared" si="141"/>
        <v>1</v>
      </c>
      <c r="U518" s="21">
        <f t="shared" si="142"/>
        <v>1</v>
      </c>
      <c r="V518" s="21">
        <f t="shared" si="143"/>
        <v>1</v>
      </c>
    </row>
    <row r="519" spans="1:22" x14ac:dyDescent="0.25">
      <c r="A519">
        <f>Tabelle2!A535</f>
        <v>0</v>
      </c>
      <c r="B519">
        <f>Tabelle2!$N535+(B$11*Tabelle2!$O535)</f>
        <v>0</v>
      </c>
      <c r="C519">
        <f>Tabelle2!$N535+(C$11*Tabelle2!$O535)</f>
        <v>0</v>
      </c>
      <c r="D519">
        <f>Tabelle2!$N535+(D$11*Tabelle2!$O535)</f>
        <v>0</v>
      </c>
      <c r="E519" s="21">
        <f t="shared" si="126"/>
        <v>1</v>
      </c>
      <c r="F519" s="21">
        <f t="shared" si="127"/>
        <v>1</v>
      </c>
      <c r="G519" s="21">
        <f t="shared" si="128"/>
        <v>1</v>
      </c>
      <c r="H519" s="21">
        <f t="shared" si="129"/>
        <v>1</v>
      </c>
      <c r="I519" s="21">
        <f t="shared" si="130"/>
        <v>1</v>
      </c>
      <c r="J519" s="21">
        <f t="shared" si="131"/>
        <v>1</v>
      </c>
      <c r="K519" s="21">
        <f t="shared" si="132"/>
        <v>1</v>
      </c>
      <c r="L519" s="21">
        <f t="shared" si="133"/>
        <v>1</v>
      </c>
      <c r="M519" s="21">
        <f t="shared" si="134"/>
        <v>1</v>
      </c>
      <c r="N519" s="21">
        <f t="shared" si="135"/>
        <v>1</v>
      </c>
      <c r="O519" s="21">
        <f t="shared" si="136"/>
        <v>1</v>
      </c>
      <c r="P519" s="21">
        <f t="shared" si="137"/>
        <v>1</v>
      </c>
      <c r="Q519" s="21">
        <f t="shared" si="138"/>
        <v>1</v>
      </c>
      <c r="R519" s="21">
        <f t="shared" si="139"/>
        <v>1</v>
      </c>
      <c r="S519" s="21">
        <f t="shared" si="140"/>
        <v>1</v>
      </c>
      <c r="T519" s="21">
        <f t="shared" si="141"/>
        <v>1</v>
      </c>
      <c r="U519" s="21">
        <f t="shared" si="142"/>
        <v>1</v>
      </c>
      <c r="V519" s="21">
        <f t="shared" si="143"/>
        <v>1</v>
      </c>
    </row>
    <row r="520" spans="1:22" x14ac:dyDescent="0.25">
      <c r="A520">
        <f>Tabelle2!A536</f>
        <v>0</v>
      </c>
      <c r="B520">
        <f>Tabelle2!$N536+(B$11*Tabelle2!$O536)</f>
        <v>0</v>
      </c>
      <c r="C520">
        <f>Tabelle2!$N536+(C$11*Tabelle2!$O536)</f>
        <v>0</v>
      </c>
      <c r="D520">
        <f>Tabelle2!$N536+(D$11*Tabelle2!$O536)</f>
        <v>0</v>
      </c>
      <c r="E520" s="21">
        <f t="shared" si="126"/>
        <v>1</v>
      </c>
      <c r="F520" s="21">
        <f t="shared" si="127"/>
        <v>1</v>
      </c>
      <c r="G520" s="21">
        <f t="shared" si="128"/>
        <v>1</v>
      </c>
      <c r="H520" s="21">
        <f t="shared" si="129"/>
        <v>1</v>
      </c>
      <c r="I520" s="21">
        <f t="shared" si="130"/>
        <v>1</v>
      </c>
      <c r="J520" s="21">
        <f t="shared" si="131"/>
        <v>1</v>
      </c>
      <c r="K520" s="21">
        <f t="shared" si="132"/>
        <v>1</v>
      </c>
      <c r="L520" s="21">
        <f t="shared" si="133"/>
        <v>1</v>
      </c>
      <c r="M520" s="21">
        <f t="shared" si="134"/>
        <v>1</v>
      </c>
      <c r="N520" s="21">
        <f t="shared" si="135"/>
        <v>1</v>
      </c>
      <c r="O520" s="21">
        <f t="shared" si="136"/>
        <v>1</v>
      </c>
      <c r="P520" s="21">
        <f t="shared" si="137"/>
        <v>1</v>
      </c>
      <c r="Q520" s="21">
        <f t="shared" si="138"/>
        <v>1</v>
      </c>
      <c r="R520" s="21">
        <f t="shared" si="139"/>
        <v>1</v>
      </c>
      <c r="S520" s="21">
        <f t="shared" si="140"/>
        <v>1</v>
      </c>
      <c r="T520" s="21">
        <f t="shared" si="141"/>
        <v>1</v>
      </c>
      <c r="U520" s="21">
        <f t="shared" si="142"/>
        <v>1</v>
      </c>
      <c r="V520" s="21">
        <f t="shared" si="143"/>
        <v>1</v>
      </c>
    </row>
    <row r="521" spans="1:22" x14ac:dyDescent="0.25">
      <c r="A521">
        <f>Tabelle2!A537</f>
        <v>0</v>
      </c>
      <c r="B521">
        <f>Tabelle2!$N537+(B$11*Tabelle2!$O537)</f>
        <v>0</v>
      </c>
      <c r="C521">
        <f>Tabelle2!$N537+(C$11*Tabelle2!$O537)</f>
        <v>0</v>
      </c>
      <c r="D521">
        <f>Tabelle2!$N537+(D$11*Tabelle2!$O537)</f>
        <v>0</v>
      </c>
      <c r="E521" s="21">
        <f t="shared" si="126"/>
        <v>1</v>
      </c>
      <c r="F521" s="21">
        <f t="shared" si="127"/>
        <v>1</v>
      </c>
      <c r="G521" s="21">
        <f t="shared" si="128"/>
        <v>1</v>
      </c>
      <c r="H521" s="21">
        <f t="shared" si="129"/>
        <v>1</v>
      </c>
      <c r="I521" s="21">
        <f t="shared" si="130"/>
        <v>1</v>
      </c>
      <c r="J521" s="21">
        <f t="shared" si="131"/>
        <v>1</v>
      </c>
      <c r="K521" s="21">
        <f t="shared" si="132"/>
        <v>1</v>
      </c>
      <c r="L521" s="21">
        <f t="shared" si="133"/>
        <v>1</v>
      </c>
      <c r="M521" s="21">
        <f t="shared" si="134"/>
        <v>1</v>
      </c>
      <c r="N521" s="21">
        <f t="shared" si="135"/>
        <v>1</v>
      </c>
      <c r="O521" s="21">
        <f t="shared" si="136"/>
        <v>1</v>
      </c>
      <c r="P521" s="21">
        <f t="shared" si="137"/>
        <v>1</v>
      </c>
      <c r="Q521" s="21">
        <f t="shared" si="138"/>
        <v>1</v>
      </c>
      <c r="R521" s="21">
        <f t="shared" si="139"/>
        <v>1</v>
      </c>
      <c r="S521" s="21">
        <f t="shared" si="140"/>
        <v>1</v>
      </c>
      <c r="T521" s="21">
        <f t="shared" si="141"/>
        <v>1</v>
      </c>
      <c r="U521" s="21">
        <f t="shared" si="142"/>
        <v>1</v>
      </c>
      <c r="V521" s="21">
        <f t="shared" si="143"/>
        <v>1</v>
      </c>
    </row>
    <row r="522" spans="1:22" x14ac:dyDescent="0.25">
      <c r="A522">
        <f>Tabelle2!A538</f>
        <v>0</v>
      </c>
      <c r="B522">
        <f>Tabelle2!$N538+(B$11*Tabelle2!$O538)</f>
        <v>0</v>
      </c>
      <c r="C522">
        <f>Tabelle2!$N538+(C$11*Tabelle2!$O538)</f>
        <v>0</v>
      </c>
      <c r="D522">
        <f>Tabelle2!$N538+(D$11*Tabelle2!$O538)</f>
        <v>0</v>
      </c>
      <c r="E522" s="21">
        <f t="shared" si="126"/>
        <v>1</v>
      </c>
      <c r="F522" s="21">
        <f t="shared" si="127"/>
        <v>1</v>
      </c>
      <c r="G522" s="21">
        <f t="shared" si="128"/>
        <v>1</v>
      </c>
      <c r="H522" s="21">
        <f t="shared" si="129"/>
        <v>1</v>
      </c>
      <c r="I522" s="21">
        <f t="shared" si="130"/>
        <v>1</v>
      </c>
      <c r="J522" s="21">
        <f t="shared" si="131"/>
        <v>1</v>
      </c>
      <c r="K522" s="21">
        <f t="shared" si="132"/>
        <v>1</v>
      </c>
      <c r="L522" s="21">
        <f t="shared" si="133"/>
        <v>1</v>
      </c>
      <c r="M522" s="21">
        <f t="shared" si="134"/>
        <v>1</v>
      </c>
      <c r="N522" s="21">
        <f t="shared" si="135"/>
        <v>1</v>
      </c>
      <c r="O522" s="21">
        <f t="shared" si="136"/>
        <v>1</v>
      </c>
      <c r="P522" s="21">
        <f t="shared" si="137"/>
        <v>1</v>
      </c>
      <c r="Q522" s="21">
        <f t="shared" si="138"/>
        <v>1</v>
      </c>
      <c r="R522" s="21">
        <f t="shared" si="139"/>
        <v>1</v>
      </c>
      <c r="S522" s="21">
        <f t="shared" si="140"/>
        <v>1</v>
      </c>
      <c r="T522" s="21">
        <f t="shared" si="141"/>
        <v>1</v>
      </c>
      <c r="U522" s="21">
        <f t="shared" si="142"/>
        <v>1</v>
      </c>
      <c r="V522" s="21">
        <f t="shared" si="143"/>
        <v>1</v>
      </c>
    </row>
    <row r="523" spans="1:22" x14ac:dyDescent="0.25">
      <c r="A523">
        <f>Tabelle2!A539</f>
        <v>0</v>
      </c>
      <c r="B523">
        <f>Tabelle2!$N539+(B$11*Tabelle2!$O539)</f>
        <v>0</v>
      </c>
      <c r="C523">
        <f>Tabelle2!$N539+(C$11*Tabelle2!$O539)</f>
        <v>0</v>
      </c>
      <c r="D523">
        <f>Tabelle2!$N539+(D$11*Tabelle2!$O539)</f>
        <v>0</v>
      </c>
      <c r="E523" s="21">
        <f t="shared" si="126"/>
        <v>1</v>
      </c>
      <c r="F523" s="21">
        <f t="shared" si="127"/>
        <v>1</v>
      </c>
      <c r="G523" s="21">
        <f t="shared" si="128"/>
        <v>1</v>
      </c>
      <c r="H523" s="21">
        <f t="shared" si="129"/>
        <v>1</v>
      </c>
      <c r="I523" s="21">
        <f t="shared" si="130"/>
        <v>1</v>
      </c>
      <c r="J523" s="21">
        <f t="shared" si="131"/>
        <v>1</v>
      </c>
      <c r="K523" s="21">
        <f t="shared" si="132"/>
        <v>1</v>
      </c>
      <c r="L523" s="21">
        <f t="shared" si="133"/>
        <v>1</v>
      </c>
      <c r="M523" s="21">
        <f t="shared" si="134"/>
        <v>1</v>
      </c>
      <c r="N523" s="21">
        <f t="shared" si="135"/>
        <v>1</v>
      </c>
      <c r="O523" s="21">
        <f t="shared" si="136"/>
        <v>1</v>
      </c>
      <c r="P523" s="21">
        <f t="shared" si="137"/>
        <v>1</v>
      </c>
      <c r="Q523" s="21">
        <f t="shared" si="138"/>
        <v>1</v>
      </c>
      <c r="R523" s="21">
        <f t="shared" si="139"/>
        <v>1</v>
      </c>
      <c r="S523" s="21">
        <f t="shared" si="140"/>
        <v>1</v>
      </c>
      <c r="T523" s="21">
        <f t="shared" si="141"/>
        <v>1</v>
      </c>
      <c r="U523" s="21">
        <f t="shared" si="142"/>
        <v>1</v>
      </c>
      <c r="V523" s="21">
        <f t="shared" si="143"/>
        <v>1</v>
      </c>
    </row>
    <row r="524" spans="1:22" x14ac:dyDescent="0.25">
      <c r="A524">
        <f>Tabelle2!A540</f>
        <v>0</v>
      </c>
      <c r="B524">
        <f>Tabelle2!$N540+(B$11*Tabelle2!$O540)</f>
        <v>0</v>
      </c>
      <c r="C524">
        <f>Tabelle2!$N540+(C$11*Tabelle2!$O540)</f>
        <v>0</v>
      </c>
      <c r="D524">
        <f>Tabelle2!$N540+(D$11*Tabelle2!$O540)</f>
        <v>0</v>
      </c>
      <c r="E524" s="21">
        <f t="shared" si="126"/>
        <v>1</v>
      </c>
      <c r="F524" s="21">
        <f t="shared" si="127"/>
        <v>1</v>
      </c>
      <c r="G524" s="21">
        <f t="shared" si="128"/>
        <v>1</v>
      </c>
      <c r="H524" s="21">
        <f t="shared" si="129"/>
        <v>1</v>
      </c>
      <c r="I524" s="21">
        <f t="shared" si="130"/>
        <v>1</v>
      </c>
      <c r="J524" s="21">
        <f t="shared" si="131"/>
        <v>1</v>
      </c>
      <c r="K524" s="21">
        <f t="shared" si="132"/>
        <v>1</v>
      </c>
      <c r="L524" s="21">
        <f t="shared" si="133"/>
        <v>1</v>
      </c>
      <c r="M524" s="21">
        <f t="shared" si="134"/>
        <v>1</v>
      </c>
      <c r="N524" s="21">
        <f t="shared" si="135"/>
        <v>1</v>
      </c>
      <c r="O524" s="21">
        <f t="shared" si="136"/>
        <v>1</v>
      </c>
      <c r="P524" s="21">
        <f t="shared" si="137"/>
        <v>1</v>
      </c>
      <c r="Q524" s="21">
        <f t="shared" si="138"/>
        <v>1</v>
      </c>
      <c r="R524" s="21">
        <f t="shared" si="139"/>
        <v>1</v>
      </c>
      <c r="S524" s="21">
        <f t="shared" si="140"/>
        <v>1</v>
      </c>
      <c r="T524" s="21">
        <f t="shared" si="141"/>
        <v>1</v>
      </c>
      <c r="U524" s="21">
        <f t="shared" si="142"/>
        <v>1</v>
      </c>
      <c r="V524" s="21">
        <f t="shared" si="143"/>
        <v>1</v>
      </c>
    </row>
    <row r="525" spans="1:22" x14ac:dyDescent="0.25">
      <c r="A525">
        <f>Tabelle2!A541</f>
        <v>0</v>
      </c>
      <c r="B525">
        <f>Tabelle2!$N541+(B$11*Tabelle2!$O541)</f>
        <v>0</v>
      </c>
      <c r="C525">
        <f>Tabelle2!$N541+(C$11*Tabelle2!$O541)</f>
        <v>0</v>
      </c>
      <c r="D525">
        <f>Tabelle2!$N541+(D$11*Tabelle2!$O541)</f>
        <v>0</v>
      </c>
      <c r="E525" s="21">
        <f t="shared" ref="E525:E574" si="144">POWER($C$2,$B525/$B$2)</f>
        <v>1</v>
      </c>
      <c r="F525" s="21">
        <f t="shared" ref="F525:F574" si="145">POWER($C$2,$C525/$B$2)</f>
        <v>1</v>
      </c>
      <c r="G525" s="21">
        <f t="shared" ref="G525:G574" si="146">POWER($C$2,$D525/$B$2)</f>
        <v>1</v>
      </c>
      <c r="H525" s="21">
        <f t="shared" ref="H525:H574" si="147">POWER($C$3,$B525/$B$3)</f>
        <v>1</v>
      </c>
      <c r="I525" s="21">
        <f t="shared" ref="I525:I574" si="148">POWER($C$3,$C525/$B$3)</f>
        <v>1</v>
      </c>
      <c r="J525" s="21">
        <f t="shared" ref="J525:J574" si="149">POWER($C$3,$D525/$B$3)</f>
        <v>1</v>
      </c>
      <c r="K525" s="21">
        <f t="shared" ref="K525:K574" si="150">POWER($C$4,$B525/$B$4)</f>
        <v>1</v>
      </c>
      <c r="L525" s="21">
        <f t="shared" ref="L525:L574" si="151">POWER($C$4,$C525/$B$4)</f>
        <v>1</v>
      </c>
      <c r="M525" s="21">
        <f t="shared" ref="M525:M574" si="152">POWER($C$4,$D525/$B$4)</f>
        <v>1</v>
      </c>
      <c r="N525" s="21">
        <f t="shared" ref="N525:N574" si="153">POWER($C$5,$B525/$B$5)</f>
        <v>1</v>
      </c>
      <c r="O525" s="21">
        <f t="shared" ref="O525:O574" si="154">POWER($C$5,$C525/$B$5)</f>
        <v>1</v>
      </c>
      <c r="P525" s="21">
        <f t="shared" ref="P525:P574" si="155">POWER($C$5,$D525/$B$5)</f>
        <v>1</v>
      </c>
      <c r="Q525" s="21">
        <f t="shared" ref="Q525:Q574" si="156">POWER($C$6,$B525/$B$6)</f>
        <v>1</v>
      </c>
      <c r="R525" s="21">
        <f t="shared" ref="R525:R574" si="157">POWER($C$6,$C525/$B$6)</f>
        <v>1</v>
      </c>
      <c r="S525" s="21">
        <f t="shared" ref="S525:S574" si="158">POWER($C$6,$D525/$B$6)</f>
        <v>1</v>
      </c>
      <c r="T525" s="21">
        <f t="shared" ref="T525:T574" si="159">POWER($C$7,$B525/$B$7)</f>
        <v>1</v>
      </c>
      <c r="U525" s="21">
        <f t="shared" ref="U525:U574" si="160">POWER($C$7,$C525/$B$7)</f>
        <v>1</v>
      </c>
      <c r="V525" s="21">
        <f t="shared" ref="V525:V574" si="161">POWER($C$7,$D525/$B$7)</f>
        <v>1</v>
      </c>
    </row>
    <row r="526" spans="1:22" x14ac:dyDescent="0.25">
      <c r="A526">
        <f>Tabelle2!A542</f>
        <v>0</v>
      </c>
      <c r="B526">
        <f>Tabelle2!$N542+(B$11*Tabelle2!$O542)</f>
        <v>0</v>
      </c>
      <c r="C526">
        <f>Tabelle2!$N542+(C$11*Tabelle2!$O542)</f>
        <v>0</v>
      </c>
      <c r="D526">
        <f>Tabelle2!$N542+(D$11*Tabelle2!$O542)</f>
        <v>0</v>
      </c>
      <c r="E526" s="21">
        <f t="shared" si="144"/>
        <v>1</v>
      </c>
      <c r="F526" s="21">
        <f t="shared" si="145"/>
        <v>1</v>
      </c>
      <c r="G526" s="21">
        <f t="shared" si="146"/>
        <v>1</v>
      </c>
      <c r="H526" s="21">
        <f t="shared" si="147"/>
        <v>1</v>
      </c>
      <c r="I526" s="21">
        <f t="shared" si="148"/>
        <v>1</v>
      </c>
      <c r="J526" s="21">
        <f t="shared" si="149"/>
        <v>1</v>
      </c>
      <c r="K526" s="21">
        <f t="shared" si="150"/>
        <v>1</v>
      </c>
      <c r="L526" s="21">
        <f t="shared" si="151"/>
        <v>1</v>
      </c>
      <c r="M526" s="21">
        <f t="shared" si="152"/>
        <v>1</v>
      </c>
      <c r="N526" s="21">
        <f t="shared" si="153"/>
        <v>1</v>
      </c>
      <c r="O526" s="21">
        <f t="shared" si="154"/>
        <v>1</v>
      </c>
      <c r="P526" s="21">
        <f t="shared" si="155"/>
        <v>1</v>
      </c>
      <c r="Q526" s="21">
        <f t="shared" si="156"/>
        <v>1</v>
      </c>
      <c r="R526" s="21">
        <f t="shared" si="157"/>
        <v>1</v>
      </c>
      <c r="S526" s="21">
        <f t="shared" si="158"/>
        <v>1</v>
      </c>
      <c r="T526" s="21">
        <f t="shared" si="159"/>
        <v>1</v>
      </c>
      <c r="U526" s="21">
        <f t="shared" si="160"/>
        <v>1</v>
      </c>
      <c r="V526" s="21">
        <f t="shared" si="161"/>
        <v>1</v>
      </c>
    </row>
    <row r="527" spans="1:22" x14ac:dyDescent="0.25">
      <c r="A527">
        <f>Tabelle2!A543</f>
        <v>0</v>
      </c>
      <c r="B527">
        <f>Tabelle2!$N543+(B$11*Tabelle2!$O543)</f>
        <v>0</v>
      </c>
      <c r="C527">
        <f>Tabelle2!$N543+(C$11*Tabelle2!$O543)</f>
        <v>0</v>
      </c>
      <c r="D527">
        <f>Tabelle2!$N543+(D$11*Tabelle2!$O543)</f>
        <v>0</v>
      </c>
      <c r="E527" s="21">
        <f t="shared" si="144"/>
        <v>1</v>
      </c>
      <c r="F527" s="21">
        <f t="shared" si="145"/>
        <v>1</v>
      </c>
      <c r="G527" s="21">
        <f t="shared" si="146"/>
        <v>1</v>
      </c>
      <c r="H527" s="21">
        <f t="shared" si="147"/>
        <v>1</v>
      </c>
      <c r="I527" s="21">
        <f t="shared" si="148"/>
        <v>1</v>
      </c>
      <c r="J527" s="21">
        <f t="shared" si="149"/>
        <v>1</v>
      </c>
      <c r="K527" s="21">
        <f t="shared" si="150"/>
        <v>1</v>
      </c>
      <c r="L527" s="21">
        <f t="shared" si="151"/>
        <v>1</v>
      </c>
      <c r="M527" s="21">
        <f t="shared" si="152"/>
        <v>1</v>
      </c>
      <c r="N527" s="21">
        <f t="shared" si="153"/>
        <v>1</v>
      </c>
      <c r="O527" s="21">
        <f t="shared" si="154"/>
        <v>1</v>
      </c>
      <c r="P527" s="21">
        <f t="shared" si="155"/>
        <v>1</v>
      </c>
      <c r="Q527" s="21">
        <f t="shared" si="156"/>
        <v>1</v>
      </c>
      <c r="R527" s="21">
        <f t="shared" si="157"/>
        <v>1</v>
      </c>
      <c r="S527" s="21">
        <f t="shared" si="158"/>
        <v>1</v>
      </c>
      <c r="T527" s="21">
        <f t="shared" si="159"/>
        <v>1</v>
      </c>
      <c r="U527" s="21">
        <f t="shared" si="160"/>
        <v>1</v>
      </c>
      <c r="V527" s="21">
        <f t="shared" si="161"/>
        <v>1</v>
      </c>
    </row>
    <row r="528" spans="1:22" x14ac:dyDescent="0.25">
      <c r="A528">
        <f>Tabelle2!A544</f>
        <v>0</v>
      </c>
      <c r="B528">
        <f>Tabelle2!$N544+(B$11*Tabelle2!$O544)</f>
        <v>0</v>
      </c>
      <c r="C528">
        <f>Tabelle2!$N544+(C$11*Tabelle2!$O544)</f>
        <v>0</v>
      </c>
      <c r="D528">
        <f>Tabelle2!$N544+(D$11*Tabelle2!$O544)</f>
        <v>0</v>
      </c>
      <c r="E528" s="21">
        <f t="shared" si="144"/>
        <v>1</v>
      </c>
      <c r="F528" s="21">
        <f t="shared" si="145"/>
        <v>1</v>
      </c>
      <c r="G528" s="21">
        <f t="shared" si="146"/>
        <v>1</v>
      </c>
      <c r="H528" s="21">
        <f t="shared" si="147"/>
        <v>1</v>
      </c>
      <c r="I528" s="21">
        <f t="shared" si="148"/>
        <v>1</v>
      </c>
      <c r="J528" s="21">
        <f t="shared" si="149"/>
        <v>1</v>
      </c>
      <c r="K528" s="21">
        <f t="shared" si="150"/>
        <v>1</v>
      </c>
      <c r="L528" s="21">
        <f t="shared" si="151"/>
        <v>1</v>
      </c>
      <c r="M528" s="21">
        <f t="shared" si="152"/>
        <v>1</v>
      </c>
      <c r="N528" s="21">
        <f t="shared" si="153"/>
        <v>1</v>
      </c>
      <c r="O528" s="21">
        <f t="shared" si="154"/>
        <v>1</v>
      </c>
      <c r="P528" s="21">
        <f t="shared" si="155"/>
        <v>1</v>
      </c>
      <c r="Q528" s="21">
        <f t="shared" si="156"/>
        <v>1</v>
      </c>
      <c r="R528" s="21">
        <f t="shared" si="157"/>
        <v>1</v>
      </c>
      <c r="S528" s="21">
        <f t="shared" si="158"/>
        <v>1</v>
      </c>
      <c r="T528" s="21">
        <f t="shared" si="159"/>
        <v>1</v>
      </c>
      <c r="U528" s="21">
        <f t="shared" si="160"/>
        <v>1</v>
      </c>
      <c r="V528" s="21">
        <f t="shared" si="161"/>
        <v>1</v>
      </c>
    </row>
    <row r="529" spans="1:22" x14ac:dyDescent="0.25">
      <c r="A529">
        <f>Tabelle2!A545</f>
        <v>0</v>
      </c>
      <c r="B529">
        <f>Tabelle2!$N545+(B$11*Tabelle2!$O545)</f>
        <v>0</v>
      </c>
      <c r="C529">
        <f>Tabelle2!$N545+(C$11*Tabelle2!$O545)</f>
        <v>0</v>
      </c>
      <c r="D529">
        <f>Tabelle2!$N545+(D$11*Tabelle2!$O545)</f>
        <v>0</v>
      </c>
      <c r="E529" s="21">
        <f t="shared" si="144"/>
        <v>1</v>
      </c>
      <c r="F529" s="21">
        <f t="shared" si="145"/>
        <v>1</v>
      </c>
      <c r="G529" s="21">
        <f t="shared" si="146"/>
        <v>1</v>
      </c>
      <c r="H529" s="21">
        <f t="shared" si="147"/>
        <v>1</v>
      </c>
      <c r="I529" s="21">
        <f t="shared" si="148"/>
        <v>1</v>
      </c>
      <c r="J529" s="21">
        <f t="shared" si="149"/>
        <v>1</v>
      </c>
      <c r="K529" s="21">
        <f t="shared" si="150"/>
        <v>1</v>
      </c>
      <c r="L529" s="21">
        <f t="shared" si="151"/>
        <v>1</v>
      </c>
      <c r="M529" s="21">
        <f t="shared" si="152"/>
        <v>1</v>
      </c>
      <c r="N529" s="21">
        <f t="shared" si="153"/>
        <v>1</v>
      </c>
      <c r="O529" s="21">
        <f t="shared" si="154"/>
        <v>1</v>
      </c>
      <c r="P529" s="21">
        <f t="shared" si="155"/>
        <v>1</v>
      </c>
      <c r="Q529" s="21">
        <f t="shared" si="156"/>
        <v>1</v>
      </c>
      <c r="R529" s="21">
        <f t="shared" si="157"/>
        <v>1</v>
      </c>
      <c r="S529" s="21">
        <f t="shared" si="158"/>
        <v>1</v>
      </c>
      <c r="T529" s="21">
        <f t="shared" si="159"/>
        <v>1</v>
      </c>
      <c r="U529" s="21">
        <f t="shared" si="160"/>
        <v>1</v>
      </c>
      <c r="V529" s="21">
        <f t="shared" si="161"/>
        <v>1</v>
      </c>
    </row>
    <row r="530" spans="1:22" x14ac:dyDescent="0.25">
      <c r="A530">
        <f>Tabelle2!A546</f>
        <v>0</v>
      </c>
      <c r="B530">
        <f>Tabelle2!$N546+(B$11*Tabelle2!$O546)</f>
        <v>0</v>
      </c>
      <c r="C530">
        <f>Tabelle2!$N546+(C$11*Tabelle2!$O546)</f>
        <v>0</v>
      </c>
      <c r="D530">
        <f>Tabelle2!$N546+(D$11*Tabelle2!$O546)</f>
        <v>0</v>
      </c>
      <c r="E530" s="21">
        <f t="shared" si="144"/>
        <v>1</v>
      </c>
      <c r="F530" s="21">
        <f t="shared" si="145"/>
        <v>1</v>
      </c>
      <c r="G530" s="21">
        <f t="shared" si="146"/>
        <v>1</v>
      </c>
      <c r="H530" s="21">
        <f t="shared" si="147"/>
        <v>1</v>
      </c>
      <c r="I530" s="21">
        <f t="shared" si="148"/>
        <v>1</v>
      </c>
      <c r="J530" s="21">
        <f t="shared" si="149"/>
        <v>1</v>
      </c>
      <c r="K530" s="21">
        <f t="shared" si="150"/>
        <v>1</v>
      </c>
      <c r="L530" s="21">
        <f t="shared" si="151"/>
        <v>1</v>
      </c>
      <c r="M530" s="21">
        <f t="shared" si="152"/>
        <v>1</v>
      </c>
      <c r="N530" s="21">
        <f t="shared" si="153"/>
        <v>1</v>
      </c>
      <c r="O530" s="21">
        <f t="shared" si="154"/>
        <v>1</v>
      </c>
      <c r="P530" s="21">
        <f t="shared" si="155"/>
        <v>1</v>
      </c>
      <c r="Q530" s="21">
        <f t="shared" si="156"/>
        <v>1</v>
      </c>
      <c r="R530" s="21">
        <f t="shared" si="157"/>
        <v>1</v>
      </c>
      <c r="S530" s="21">
        <f t="shared" si="158"/>
        <v>1</v>
      </c>
      <c r="T530" s="21">
        <f t="shared" si="159"/>
        <v>1</v>
      </c>
      <c r="U530" s="21">
        <f t="shared" si="160"/>
        <v>1</v>
      </c>
      <c r="V530" s="21">
        <f t="shared" si="161"/>
        <v>1</v>
      </c>
    </row>
    <row r="531" spans="1:22" x14ac:dyDescent="0.25">
      <c r="A531">
        <f>Tabelle2!A547</f>
        <v>0</v>
      </c>
      <c r="B531">
        <f>Tabelle2!$N547+(B$11*Tabelle2!$O547)</f>
        <v>0</v>
      </c>
      <c r="C531">
        <f>Tabelle2!$N547+(C$11*Tabelle2!$O547)</f>
        <v>0</v>
      </c>
      <c r="D531">
        <f>Tabelle2!$N547+(D$11*Tabelle2!$O547)</f>
        <v>0</v>
      </c>
      <c r="E531" s="21">
        <f t="shared" si="144"/>
        <v>1</v>
      </c>
      <c r="F531" s="21">
        <f t="shared" si="145"/>
        <v>1</v>
      </c>
      <c r="G531" s="21">
        <f t="shared" si="146"/>
        <v>1</v>
      </c>
      <c r="H531" s="21">
        <f t="shared" si="147"/>
        <v>1</v>
      </c>
      <c r="I531" s="21">
        <f t="shared" si="148"/>
        <v>1</v>
      </c>
      <c r="J531" s="21">
        <f t="shared" si="149"/>
        <v>1</v>
      </c>
      <c r="K531" s="21">
        <f t="shared" si="150"/>
        <v>1</v>
      </c>
      <c r="L531" s="21">
        <f t="shared" si="151"/>
        <v>1</v>
      </c>
      <c r="M531" s="21">
        <f t="shared" si="152"/>
        <v>1</v>
      </c>
      <c r="N531" s="21">
        <f t="shared" si="153"/>
        <v>1</v>
      </c>
      <c r="O531" s="21">
        <f t="shared" si="154"/>
        <v>1</v>
      </c>
      <c r="P531" s="21">
        <f t="shared" si="155"/>
        <v>1</v>
      </c>
      <c r="Q531" s="21">
        <f t="shared" si="156"/>
        <v>1</v>
      </c>
      <c r="R531" s="21">
        <f t="shared" si="157"/>
        <v>1</v>
      </c>
      <c r="S531" s="21">
        <f t="shared" si="158"/>
        <v>1</v>
      </c>
      <c r="T531" s="21">
        <f t="shared" si="159"/>
        <v>1</v>
      </c>
      <c r="U531" s="21">
        <f t="shared" si="160"/>
        <v>1</v>
      </c>
      <c r="V531" s="21">
        <f t="shared" si="161"/>
        <v>1</v>
      </c>
    </row>
    <row r="532" spans="1:22" x14ac:dyDescent="0.25">
      <c r="A532">
        <f>Tabelle2!A548</f>
        <v>0</v>
      </c>
      <c r="B532">
        <f>Tabelle2!$N548+(B$11*Tabelle2!$O548)</f>
        <v>0</v>
      </c>
      <c r="C532">
        <f>Tabelle2!$N548+(C$11*Tabelle2!$O548)</f>
        <v>0</v>
      </c>
      <c r="D532">
        <f>Tabelle2!$N548+(D$11*Tabelle2!$O548)</f>
        <v>0</v>
      </c>
      <c r="E532" s="21">
        <f t="shared" si="144"/>
        <v>1</v>
      </c>
      <c r="F532" s="21">
        <f t="shared" si="145"/>
        <v>1</v>
      </c>
      <c r="G532" s="21">
        <f t="shared" si="146"/>
        <v>1</v>
      </c>
      <c r="H532" s="21">
        <f t="shared" si="147"/>
        <v>1</v>
      </c>
      <c r="I532" s="21">
        <f t="shared" si="148"/>
        <v>1</v>
      </c>
      <c r="J532" s="21">
        <f t="shared" si="149"/>
        <v>1</v>
      </c>
      <c r="K532" s="21">
        <f t="shared" si="150"/>
        <v>1</v>
      </c>
      <c r="L532" s="21">
        <f t="shared" si="151"/>
        <v>1</v>
      </c>
      <c r="M532" s="21">
        <f t="shared" si="152"/>
        <v>1</v>
      </c>
      <c r="N532" s="21">
        <f t="shared" si="153"/>
        <v>1</v>
      </c>
      <c r="O532" s="21">
        <f t="shared" si="154"/>
        <v>1</v>
      </c>
      <c r="P532" s="21">
        <f t="shared" si="155"/>
        <v>1</v>
      </c>
      <c r="Q532" s="21">
        <f t="shared" si="156"/>
        <v>1</v>
      </c>
      <c r="R532" s="21">
        <f t="shared" si="157"/>
        <v>1</v>
      </c>
      <c r="S532" s="21">
        <f t="shared" si="158"/>
        <v>1</v>
      </c>
      <c r="T532" s="21">
        <f t="shared" si="159"/>
        <v>1</v>
      </c>
      <c r="U532" s="21">
        <f t="shared" si="160"/>
        <v>1</v>
      </c>
      <c r="V532" s="21">
        <f t="shared" si="161"/>
        <v>1</v>
      </c>
    </row>
    <row r="533" spans="1:22" x14ac:dyDescent="0.25">
      <c r="A533">
        <f>Tabelle2!A549</f>
        <v>0</v>
      </c>
      <c r="B533">
        <f>Tabelle2!$N549+(B$11*Tabelle2!$O549)</f>
        <v>0</v>
      </c>
      <c r="C533">
        <f>Tabelle2!$N549+(C$11*Tabelle2!$O549)</f>
        <v>0</v>
      </c>
      <c r="D533">
        <f>Tabelle2!$N549+(D$11*Tabelle2!$O549)</f>
        <v>0</v>
      </c>
      <c r="E533" s="21">
        <f t="shared" si="144"/>
        <v>1</v>
      </c>
      <c r="F533" s="21">
        <f t="shared" si="145"/>
        <v>1</v>
      </c>
      <c r="G533" s="21">
        <f t="shared" si="146"/>
        <v>1</v>
      </c>
      <c r="H533" s="21">
        <f t="shared" si="147"/>
        <v>1</v>
      </c>
      <c r="I533" s="21">
        <f t="shared" si="148"/>
        <v>1</v>
      </c>
      <c r="J533" s="21">
        <f t="shared" si="149"/>
        <v>1</v>
      </c>
      <c r="K533" s="21">
        <f t="shared" si="150"/>
        <v>1</v>
      </c>
      <c r="L533" s="21">
        <f t="shared" si="151"/>
        <v>1</v>
      </c>
      <c r="M533" s="21">
        <f t="shared" si="152"/>
        <v>1</v>
      </c>
      <c r="N533" s="21">
        <f t="shared" si="153"/>
        <v>1</v>
      </c>
      <c r="O533" s="21">
        <f t="shared" si="154"/>
        <v>1</v>
      </c>
      <c r="P533" s="21">
        <f t="shared" si="155"/>
        <v>1</v>
      </c>
      <c r="Q533" s="21">
        <f t="shared" si="156"/>
        <v>1</v>
      </c>
      <c r="R533" s="21">
        <f t="shared" si="157"/>
        <v>1</v>
      </c>
      <c r="S533" s="21">
        <f t="shared" si="158"/>
        <v>1</v>
      </c>
      <c r="T533" s="21">
        <f t="shared" si="159"/>
        <v>1</v>
      </c>
      <c r="U533" s="21">
        <f t="shared" si="160"/>
        <v>1</v>
      </c>
      <c r="V533" s="21">
        <f t="shared" si="161"/>
        <v>1</v>
      </c>
    </row>
    <row r="534" spans="1:22" x14ac:dyDescent="0.25">
      <c r="A534">
        <f>Tabelle2!A550</f>
        <v>0</v>
      </c>
      <c r="B534">
        <f>Tabelle2!$N550+(B$11*Tabelle2!$O550)</f>
        <v>0</v>
      </c>
      <c r="C534">
        <f>Tabelle2!$N550+(C$11*Tabelle2!$O550)</f>
        <v>0</v>
      </c>
      <c r="D534">
        <f>Tabelle2!$N550+(D$11*Tabelle2!$O550)</f>
        <v>0</v>
      </c>
      <c r="E534" s="21">
        <f t="shared" si="144"/>
        <v>1</v>
      </c>
      <c r="F534" s="21">
        <f t="shared" si="145"/>
        <v>1</v>
      </c>
      <c r="G534" s="21">
        <f t="shared" si="146"/>
        <v>1</v>
      </c>
      <c r="H534" s="21">
        <f t="shared" si="147"/>
        <v>1</v>
      </c>
      <c r="I534" s="21">
        <f t="shared" si="148"/>
        <v>1</v>
      </c>
      <c r="J534" s="21">
        <f t="shared" si="149"/>
        <v>1</v>
      </c>
      <c r="K534" s="21">
        <f t="shared" si="150"/>
        <v>1</v>
      </c>
      <c r="L534" s="21">
        <f t="shared" si="151"/>
        <v>1</v>
      </c>
      <c r="M534" s="21">
        <f t="shared" si="152"/>
        <v>1</v>
      </c>
      <c r="N534" s="21">
        <f t="shared" si="153"/>
        <v>1</v>
      </c>
      <c r="O534" s="21">
        <f t="shared" si="154"/>
        <v>1</v>
      </c>
      <c r="P534" s="21">
        <f t="shared" si="155"/>
        <v>1</v>
      </c>
      <c r="Q534" s="21">
        <f t="shared" si="156"/>
        <v>1</v>
      </c>
      <c r="R534" s="21">
        <f t="shared" si="157"/>
        <v>1</v>
      </c>
      <c r="S534" s="21">
        <f t="shared" si="158"/>
        <v>1</v>
      </c>
      <c r="T534" s="21">
        <f t="shared" si="159"/>
        <v>1</v>
      </c>
      <c r="U534" s="21">
        <f t="shared" si="160"/>
        <v>1</v>
      </c>
      <c r="V534" s="21">
        <f t="shared" si="161"/>
        <v>1</v>
      </c>
    </row>
    <row r="535" spans="1:22" x14ac:dyDescent="0.25">
      <c r="A535">
        <f>Tabelle2!A551</f>
        <v>0</v>
      </c>
      <c r="B535">
        <f>Tabelle2!$N551+(B$11*Tabelle2!$O551)</f>
        <v>0</v>
      </c>
      <c r="C535">
        <f>Tabelle2!$N551+(C$11*Tabelle2!$O551)</f>
        <v>0</v>
      </c>
      <c r="D535">
        <f>Tabelle2!$N551+(D$11*Tabelle2!$O551)</f>
        <v>0</v>
      </c>
      <c r="E535" s="21">
        <f t="shared" si="144"/>
        <v>1</v>
      </c>
      <c r="F535" s="21">
        <f t="shared" si="145"/>
        <v>1</v>
      </c>
      <c r="G535" s="21">
        <f t="shared" si="146"/>
        <v>1</v>
      </c>
      <c r="H535" s="21">
        <f t="shared" si="147"/>
        <v>1</v>
      </c>
      <c r="I535" s="21">
        <f t="shared" si="148"/>
        <v>1</v>
      </c>
      <c r="J535" s="21">
        <f t="shared" si="149"/>
        <v>1</v>
      </c>
      <c r="K535" s="21">
        <f t="shared" si="150"/>
        <v>1</v>
      </c>
      <c r="L535" s="21">
        <f t="shared" si="151"/>
        <v>1</v>
      </c>
      <c r="M535" s="21">
        <f t="shared" si="152"/>
        <v>1</v>
      </c>
      <c r="N535" s="21">
        <f t="shared" si="153"/>
        <v>1</v>
      </c>
      <c r="O535" s="21">
        <f t="shared" si="154"/>
        <v>1</v>
      </c>
      <c r="P535" s="21">
        <f t="shared" si="155"/>
        <v>1</v>
      </c>
      <c r="Q535" s="21">
        <f t="shared" si="156"/>
        <v>1</v>
      </c>
      <c r="R535" s="21">
        <f t="shared" si="157"/>
        <v>1</v>
      </c>
      <c r="S535" s="21">
        <f t="shared" si="158"/>
        <v>1</v>
      </c>
      <c r="T535" s="21">
        <f t="shared" si="159"/>
        <v>1</v>
      </c>
      <c r="U535" s="21">
        <f t="shared" si="160"/>
        <v>1</v>
      </c>
      <c r="V535" s="21">
        <f t="shared" si="161"/>
        <v>1</v>
      </c>
    </row>
    <row r="536" spans="1:22" x14ac:dyDescent="0.25">
      <c r="A536">
        <f>Tabelle2!A552</f>
        <v>0</v>
      </c>
      <c r="B536">
        <f>Tabelle2!$N552+(B$11*Tabelle2!$O552)</f>
        <v>0</v>
      </c>
      <c r="C536">
        <f>Tabelle2!$N552+(C$11*Tabelle2!$O552)</f>
        <v>0</v>
      </c>
      <c r="D536">
        <f>Tabelle2!$N552+(D$11*Tabelle2!$O552)</f>
        <v>0</v>
      </c>
      <c r="E536" s="21">
        <f t="shared" si="144"/>
        <v>1</v>
      </c>
      <c r="F536" s="21">
        <f t="shared" si="145"/>
        <v>1</v>
      </c>
      <c r="G536" s="21">
        <f t="shared" si="146"/>
        <v>1</v>
      </c>
      <c r="H536" s="21">
        <f t="shared" si="147"/>
        <v>1</v>
      </c>
      <c r="I536" s="21">
        <f t="shared" si="148"/>
        <v>1</v>
      </c>
      <c r="J536" s="21">
        <f t="shared" si="149"/>
        <v>1</v>
      </c>
      <c r="K536" s="21">
        <f t="shared" si="150"/>
        <v>1</v>
      </c>
      <c r="L536" s="21">
        <f t="shared" si="151"/>
        <v>1</v>
      </c>
      <c r="M536" s="21">
        <f t="shared" si="152"/>
        <v>1</v>
      </c>
      <c r="N536" s="21">
        <f t="shared" si="153"/>
        <v>1</v>
      </c>
      <c r="O536" s="21">
        <f t="shared" si="154"/>
        <v>1</v>
      </c>
      <c r="P536" s="21">
        <f t="shared" si="155"/>
        <v>1</v>
      </c>
      <c r="Q536" s="21">
        <f t="shared" si="156"/>
        <v>1</v>
      </c>
      <c r="R536" s="21">
        <f t="shared" si="157"/>
        <v>1</v>
      </c>
      <c r="S536" s="21">
        <f t="shared" si="158"/>
        <v>1</v>
      </c>
      <c r="T536" s="21">
        <f t="shared" si="159"/>
        <v>1</v>
      </c>
      <c r="U536" s="21">
        <f t="shared" si="160"/>
        <v>1</v>
      </c>
      <c r="V536" s="21">
        <f t="shared" si="161"/>
        <v>1</v>
      </c>
    </row>
    <row r="537" spans="1:22" x14ac:dyDescent="0.25">
      <c r="A537">
        <f>Tabelle2!A553</f>
        <v>0</v>
      </c>
      <c r="B537">
        <f>Tabelle2!$N553+(B$11*Tabelle2!$O553)</f>
        <v>0</v>
      </c>
      <c r="C537">
        <f>Tabelle2!$N553+(C$11*Tabelle2!$O553)</f>
        <v>0</v>
      </c>
      <c r="D537">
        <f>Tabelle2!$N553+(D$11*Tabelle2!$O553)</f>
        <v>0</v>
      </c>
      <c r="E537" s="21">
        <f t="shared" si="144"/>
        <v>1</v>
      </c>
      <c r="F537" s="21">
        <f t="shared" si="145"/>
        <v>1</v>
      </c>
      <c r="G537" s="21">
        <f t="shared" si="146"/>
        <v>1</v>
      </c>
      <c r="H537" s="21">
        <f t="shared" si="147"/>
        <v>1</v>
      </c>
      <c r="I537" s="21">
        <f t="shared" si="148"/>
        <v>1</v>
      </c>
      <c r="J537" s="21">
        <f t="shared" si="149"/>
        <v>1</v>
      </c>
      <c r="K537" s="21">
        <f t="shared" si="150"/>
        <v>1</v>
      </c>
      <c r="L537" s="21">
        <f t="shared" si="151"/>
        <v>1</v>
      </c>
      <c r="M537" s="21">
        <f t="shared" si="152"/>
        <v>1</v>
      </c>
      <c r="N537" s="21">
        <f t="shared" si="153"/>
        <v>1</v>
      </c>
      <c r="O537" s="21">
        <f t="shared" si="154"/>
        <v>1</v>
      </c>
      <c r="P537" s="21">
        <f t="shared" si="155"/>
        <v>1</v>
      </c>
      <c r="Q537" s="21">
        <f t="shared" si="156"/>
        <v>1</v>
      </c>
      <c r="R537" s="21">
        <f t="shared" si="157"/>
        <v>1</v>
      </c>
      <c r="S537" s="21">
        <f t="shared" si="158"/>
        <v>1</v>
      </c>
      <c r="T537" s="21">
        <f t="shared" si="159"/>
        <v>1</v>
      </c>
      <c r="U537" s="21">
        <f t="shared" si="160"/>
        <v>1</v>
      </c>
      <c r="V537" s="21">
        <f t="shared" si="161"/>
        <v>1</v>
      </c>
    </row>
    <row r="538" spans="1:22" x14ac:dyDescent="0.25">
      <c r="A538">
        <f>Tabelle2!A554</f>
        <v>0</v>
      </c>
      <c r="B538">
        <f>Tabelle2!$N554+(B$11*Tabelle2!$O554)</f>
        <v>0</v>
      </c>
      <c r="C538">
        <f>Tabelle2!$N554+(C$11*Tabelle2!$O554)</f>
        <v>0</v>
      </c>
      <c r="D538">
        <f>Tabelle2!$N554+(D$11*Tabelle2!$O554)</f>
        <v>0</v>
      </c>
      <c r="E538" s="21">
        <f t="shared" si="144"/>
        <v>1</v>
      </c>
      <c r="F538" s="21">
        <f t="shared" si="145"/>
        <v>1</v>
      </c>
      <c r="G538" s="21">
        <f t="shared" si="146"/>
        <v>1</v>
      </c>
      <c r="H538" s="21">
        <f t="shared" si="147"/>
        <v>1</v>
      </c>
      <c r="I538" s="21">
        <f t="shared" si="148"/>
        <v>1</v>
      </c>
      <c r="J538" s="21">
        <f t="shared" si="149"/>
        <v>1</v>
      </c>
      <c r="K538" s="21">
        <f t="shared" si="150"/>
        <v>1</v>
      </c>
      <c r="L538" s="21">
        <f t="shared" si="151"/>
        <v>1</v>
      </c>
      <c r="M538" s="21">
        <f t="shared" si="152"/>
        <v>1</v>
      </c>
      <c r="N538" s="21">
        <f t="shared" si="153"/>
        <v>1</v>
      </c>
      <c r="O538" s="21">
        <f t="shared" si="154"/>
        <v>1</v>
      </c>
      <c r="P538" s="21">
        <f t="shared" si="155"/>
        <v>1</v>
      </c>
      <c r="Q538" s="21">
        <f t="shared" si="156"/>
        <v>1</v>
      </c>
      <c r="R538" s="21">
        <f t="shared" si="157"/>
        <v>1</v>
      </c>
      <c r="S538" s="21">
        <f t="shared" si="158"/>
        <v>1</v>
      </c>
      <c r="T538" s="21">
        <f t="shared" si="159"/>
        <v>1</v>
      </c>
      <c r="U538" s="21">
        <f t="shared" si="160"/>
        <v>1</v>
      </c>
      <c r="V538" s="21">
        <f t="shared" si="161"/>
        <v>1</v>
      </c>
    </row>
    <row r="539" spans="1:22" x14ac:dyDescent="0.25">
      <c r="A539">
        <f>Tabelle2!A555</f>
        <v>0</v>
      </c>
      <c r="B539">
        <f>Tabelle2!$N555+(B$11*Tabelle2!$O555)</f>
        <v>0</v>
      </c>
      <c r="C539">
        <f>Tabelle2!$N555+(C$11*Tabelle2!$O555)</f>
        <v>0</v>
      </c>
      <c r="D539">
        <f>Tabelle2!$N555+(D$11*Tabelle2!$O555)</f>
        <v>0</v>
      </c>
      <c r="E539" s="21">
        <f t="shared" si="144"/>
        <v>1</v>
      </c>
      <c r="F539" s="21">
        <f t="shared" si="145"/>
        <v>1</v>
      </c>
      <c r="G539" s="21">
        <f t="shared" si="146"/>
        <v>1</v>
      </c>
      <c r="H539" s="21">
        <f t="shared" si="147"/>
        <v>1</v>
      </c>
      <c r="I539" s="21">
        <f t="shared" si="148"/>
        <v>1</v>
      </c>
      <c r="J539" s="21">
        <f t="shared" si="149"/>
        <v>1</v>
      </c>
      <c r="K539" s="21">
        <f t="shared" si="150"/>
        <v>1</v>
      </c>
      <c r="L539" s="21">
        <f t="shared" si="151"/>
        <v>1</v>
      </c>
      <c r="M539" s="21">
        <f t="shared" si="152"/>
        <v>1</v>
      </c>
      <c r="N539" s="21">
        <f t="shared" si="153"/>
        <v>1</v>
      </c>
      <c r="O539" s="21">
        <f t="shared" si="154"/>
        <v>1</v>
      </c>
      <c r="P539" s="21">
        <f t="shared" si="155"/>
        <v>1</v>
      </c>
      <c r="Q539" s="21">
        <f t="shared" si="156"/>
        <v>1</v>
      </c>
      <c r="R539" s="21">
        <f t="shared" si="157"/>
        <v>1</v>
      </c>
      <c r="S539" s="21">
        <f t="shared" si="158"/>
        <v>1</v>
      </c>
      <c r="T539" s="21">
        <f t="shared" si="159"/>
        <v>1</v>
      </c>
      <c r="U539" s="21">
        <f t="shared" si="160"/>
        <v>1</v>
      </c>
      <c r="V539" s="21">
        <f t="shared" si="161"/>
        <v>1</v>
      </c>
    </row>
    <row r="540" spans="1:22" x14ac:dyDescent="0.25">
      <c r="A540">
        <f>Tabelle2!A556</f>
        <v>0</v>
      </c>
      <c r="B540">
        <f>Tabelle2!$N556+(B$11*Tabelle2!$O556)</f>
        <v>0</v>
      </c>
      <c r="C540">
        <f>Tabelle2!$N556+(C$11*Tabelle2!$O556)</f>
        <v>0</v>
      </c>
      <c r="D540">
        <f>Tabelle2!$N556+(D$11*Tabelle2!$O556)</f>
        <v>0</v>
      </c>
      <c r="E540" s="21">
        <f t="shared" si="144"/>
        <v>1</v>
      </c>
      <c r="F540" s="21">
        <f t="shared" si="145"/>
        <v>1</v>
      </c>
      <c r="G540" s="21">
        <f t="shared" si="146"/>
        <v>1</v>
      </c>
      <c r="H540" s="21">
        <f t="shared" si="147"/>
        <v>1</v>
      </c>
      <c r="I540" s="21">
        <f t="shared" si="148"/>
        <v>1</v>
      </c>
      <c r="J540" s="21">
        <f t="shared" si="149"/>
        <v>1</v>
      </c>
      <c r="K540" s="21">
        <f t="shared" si="150"/>
        <v>1</v>
      </c>
      <c r="L540" s="21">
        <f t="shared" si="151"/>
        <v>1</v>
      </c>
      <c r="M540" s="21">
        <f t="shared" si="152"/>
        <v>1</v>
      </c>
      <c r="N540" s="21">
        <f t="shared" si="153"/>
        <v>1</v>
      </c>
      <c r="O540" s="21">
        <f t="shared" si="154"/>
        <v>1</v>
      </c>
      <c r="P540" s="21">
        <f t="shared" si="155"/>
        <v>1</v>
      </c>
      <c r="Q540" s="21">
        <f t="shared" si="156"/>
        <v>1</v>
      </c>
      <c r="R540" s="21">
        <f t="shared" si="157"/>
        <v>1</v>
      </c>
      <c r="S540" s="21">
        <f t="shared" si="158"/>
        <v>1</v>
      </c>
      <c r="T540" s="21">
        <f t="shared" si="159"/>
        <v>1</v>
      </c>
      <c r="U540" s="21">
        <f t="shared" si="160"/>
        <v>1</v>
      </c>
      <c r="V540" s="21">
        <f t="shared" si="161"/>
        <v>1</v>
      </c>
    </row>
    <row r="541" spans="1:22" x14ac:dyDescent="0.25">
      <c r="A541">
        <f>Tabelle2!A557</f>
        <v>0</v>
      </c>
      <c r="B541">
        <f>Tabelle2!$N557+(B$11*Tabelle2!$O557)</f>
        <v>0</v>
      </c>
      <c r="C541">
        <f>Tabelle2!$N557+(C$11*Tabelle2!$O557)</f>
        <v>0</v>
      </c>
      <c r="D541">
        <f>Tabelle2!$N557+(D$11*Tabelle2!$O557)</f>
        <v>0</v>
      </c>
      <c r="E541" s="21">
        <f t="shared" si="144"/>
        <v>1</v>
      </c>
      <c r="F541" s="21">
        <f t="shared" si="145"/>
        <v>1</v>
      </c>
      <c r="G541" s="21">
        <f t="shared" si="146"/>
        <v>1</v>
      </c>
      <c r="H541" s="21">
        <f t="shared" si="147"/>
        <v>1</v>
      </c>
      <c r="I541" s="21">
        <f t="shared" si="148"/>
        <v>1</v>
      </c>
      <c r="J541" s="21">
        <f t="shared" si="149"/>
        <v>1</v>
      </c>
      <c r="K541" s="21">
        <f t="shared" si="150"/>
        <v>1</v>
      </c>
      <c r="L541" s="21">
        <f t="shared" si="151"/>
        <v>1</v>
      </c>
      <c r="M541" s="21">
        <f t="shared" si="152"/>
        <v>1</v>
      </c>
      <c r="N541" s="21">
        <f t="shared" si="153"/>
        <v>1</v>
      </c>
      <c r="O541" s="21">
        <f t="shared" si="154"/>
        <v>1</v>
      </c>
      <c r="P541" s="21">
        <f t="shared" si="155"/>
        <v>1</v>
      </c>
      <c r="Q541" s="21">
        <f t="shared" si="156"/>
        <v>1</v>
      </c>
      <c r="R541" s="21">
        <f t="shared" si="157"/>
        <v>1</v>
      </c>
      <c r="S541" s="21">
        <f t="shared" si="158"/>
        <v>1</v>
      </c>
      <c r="T541" s="21">
        <f t="shared" si="159"/>
        <v>1</v>
      </c>
      <c r="U541" s="21">
        <f t="shared" si="160"/>
        <v>1</v>
      </c>
      <c r="V541" s="21">
        <f t="shared" si="161"/>
        <v>1</v>
      </c>
    </row>
    <row r="542" spans="1:22" x14ac:dyDescent="0.25">
      <c r="A542">
        <f>Tabelle2!A558</f>
        <v>0</v>
      </c>
      <c r="B542">
        <f>Tabelle2!$N558+(B$11*Tabelle2!$O558)</f>
        <v>0</v>
      </c>
      <c r="C542">
        <f>Tabelle2!$N558+(C$11*Tabelle2!$O558)</f>
        <v>0</v>
      </c>
      <c r="D542">
        <f>Tabelle2!$N558+(D$11*Tabelle2!$O558)</f>
        <v>0</v>
      </c>
      <c r="E542" s="21">
        <f t="shared" si="144"/>
        <v>1</v>
      </c>
      <c r="F542" s="21">
        <f t="shared" si="145"/>
        <v>1</v>
      </c>
      <c r="G542" s="21">
        <f t="shared" si="146"/>
        <v>1</v>
      </c>
      <c r="H542" s="21">
        <f t="shared" si="147"/>
        <v>1</v>
      </c>
      <c r="I542" s="21">
        <f t="shared" si="148"/>
        <v>1</v>
      </c>
      <c r="J542" s="21">
        <f t="shared" si="149"/>
        <v>1</v>
      </c>
      <c r="K542" s="21">
        <f t="shared" si="150"/>
        <v>1</v>
      </c>
      <c r="L542" s="21">
        <f t="shared" si="151"/>
        <v>1</v>
      </c>
      <c r="M542" s="21">
        <f t="shared" si="152"/>
        <v>1</v>
      </c>
      <c r="N542" s="21">
        <f t="shared" si="153"/>
        <v>1</v>
      </c>
      <c r="O542" s="21">
        <f t="shared" si="154"/>
        <v>1</v>
      </c>
      <c r="P542" s="21">
        <f t="shared" si="155"/>
        <v>1</v>
      </c>
      <c r="Q542" s="21">
        <f t="shared" si="156"/>
        <v>1</v>
      </c>
      <c r="R542" s="21">
        <f t="shared" si="157"/>
        <v>1</v>
      </c>
      <c r="S542" s="21">
        <f t="shared" si="158"/>
        <v>1</v>
      </c>
      <c r="T542" s="21">
        <f t="shared" si="159"/>
        <v>1</v>
      </c>
      <c r="U542" s="21">
        <f t="shared" si="160"/>
        <v>1</v>
      </c>
      <c r="V542" s="21">
        <f t="shared" si="161"/>
        <v>1</v>
      </c>
    </row>
    <row r="543" spans="1:22" x14ac:dyDescent="0.25">
      <c r="A543">
        <f>Tabelle2!A559</f>
        <v>0</v>
      </c>
      <c r="B543">
        <f>Tabelle2!$N559+(B$11*Tabelle2!$O559)</f>
        <v>0</v>
      </c>
      <c r="C543">
        <f>Tabelle2!$N559+(C$11*Tabelle2!$O559)</f>
        <v>0</v>
      </c>
      <c r="D543">
        <f>Tabelle2!$N559+(D$11*Tabelle2!$O559)</f>
        <v>0</v>
      </c>
      <c r="E543" s="21">
        <f t="shared" si="144"/>
        <v>1</v>
      </c>
      <c r="F543" s="21">
        <f t="shared" si="145"/>
        <v>1</v>
      </c>
      <c r="G543" s="21">
        <f t="shared" si="146"/>
        <v>1</v>
      </c>
      <c r="H543" s="21">
        <f t="shared" si="147"/>
        <v>1</v>
      </c>
      <c r="I543" s="21">
        <f t="shared" si="148"/>
        <v>1</v>
      </c>
      <c r="J543" s="21">
        <f t="shared" si="149"/>
        <v>1</v>
      </c>
      <c r="K543" s="21">
        <f t="shared" si="150"/>
        <v>1</v>
      </c>
      <c r="L543" s="21">
        <f t="shared" si="151"/>
        <v>1</v>
      </c>
      <c r="M543" s="21">
        <f t="shared" si="152"/>
        <v>1</v>
      </c>
      <c r="N543" s="21">
        <f t="shared" si="153"/>
        <v>1</v>
      </c>
      <c r="O543" s="21">
        <f t="shared" si="154"/>
        <v>1</v>
      </c>
      <c r="P543" s="21">
        <f t="shared" si="155"/>
        <v>1</v>
      </c>
      <c r="Q543" s="21">
        <f t="shared" si="156"/>
        <v>1</v>
      </c>
      <c r="R543" s="21">
        <f t="shared" si="157"/>
        <v>1</v>
      </c>
      <c r="S543" s="21">
        <f t="shared" si="158"/>
        <v>1</v>
      </c>
      <c r="T543" s="21">
        <f t="shared" si="159"/>
        <v>1</v>
      </c>
      <c r="U543" s="21">
        <f t="shared" si="160"/>
        <v>1</v>
      </c>
      <c r="V543" s="21">
        <f t="shared" si="161"/>
        <v>1</v>
      </c>
    </row>
    <row r="544" spans="1:22" x14ac:dyDescent="0.25">
      <c r="A544">
        <f>Tabelle2!A560</f>
        <v>0</v>
      </c>
      <c r="B544">
        <f>Tabelle2!$N560+(B$11*Tabelle2!$O560)</f>
        <v>0</v>
      </c>
      <c r="C544">
        <f>Tabelle2!$N560+(C$11*Tabelle2!$O560)</f>
        <v>0</v>
      </c>
      <c r="D544">
        <f>Tabelle2!$N560+(D$11*Tabelle2!$O560)</f>
        <v>0</v>
      </c>
      <c r="E544" s="21">
        <f t="shared" si="144"/>
        <v>1</v>
      </c>
      <c r="F544" s="21">
        <f t="shared" si="145"/>
        <v>1</v>
      </c>
      <c r="G544" s="21">
        <f t="shared" si="146"/>
        <v>1</v>
      </c>
      <c r="H544" s="21">
        <f t="shared" si="147"/>
        <v>1</v>
      </c>
      <c r="I544" s="21">
        <f t="shared" si="148"/>
        <v>1</v>
      </c>
      <c r="J544" s="21">
        <f t="shared" si="149"/>
        <v>1</v>
      </c>
      <c r="K544" s="21">
        <f t="shared" si="150"/>
        <v>1</v>
      </c>
      <c r="L544" s="21">
        <f t="shared" si="151"/>
        <v>1</v>
      </c>
      <c r="M544" s="21">
        <f t="shared" si="152"/>
        <v>1</v>
      </c>
      <c r="N544" s="21">
        <f t="shared" si="153"/>
        <v>1</v>
      </c>
      <c r="O544" s="21">
        <f t="shared" si="154"/>
        <v>1</v>
      </c>
      <c r="P544" s="21">
        <f t="shared" si="155"/>
        <v>1</v>
      </c>
      <c r="Q544" s="21">
        <f t="shared" si="156"/>
        <v>1</v>
      </c>
      <c r="R544" s="21">
        <f t="shared" si="157"/>
        <v>1</v>
      </c>
      <c r="S544" s="21">
        <f t="shared" si="158"/>
        <v>1</v>
      </c>
      <c r="T544" s="21">
        <f t="shared" si="159"/>
        <v>1</v>
      </c>
      <c r="U544" s="21">
        <f t="shared" si="160"/>
        <v>1</v>
      </c>
      <c r="V544" s="21">
        <f t="shared" si="161"/>
        <v>1</v>
      </c>
    </row>
    <row r="545" spans="1:22" x14ac:dyDescent="0.25">
      <c r="A545">
        <f>Tabelle2!A561</f>
        <v>0</v>
      </c>
      <c r="B545">
        <f>Tabelle2!$N561+(B$11*Tabelle2!$O561)</f>
        <v>0</v>
      </c>
      <c r="C545">
        <f>Tabelle2!$N561+(C$11*Tabelle2!$O561)</f>
        <v>0</v>
      </c>
      <c r="D545">
        <f>Tabelle2!$N561+(D$11*Tabelle2!$O561)</f>
        <v>0</v>
      </c>
      <c r="E545" s="21">
        <f t="shared" si="144"/>
        <v>1</v>
      </c>
      <c r="F545" s="21">
        <f t="shared" si="145"/>
        <v>1</v>
      </c>
      <c r="G545" s="21">
        <f t="shared" si="146"/>
        <v>1</v>
      </c>
      <c r="H545" s="21">
        <f t="shared" si="147"/>
        <v>1</v>
      </c>
      <c r="I545" s="21">
        <f t="shared" si="148"/>
        <v>1</v>
      </c>
      <c r="J545" s="21">
        <f t="shared" si="149"/>
        <v>1</v>
      </c>
      <c r="K545" s="21">
        <f t="shared" si="150"/>
        <v>1</v>
      </c>
      <c r="L545" s="21">
        <f t="shared" si="151"/>
        <v>1</v>
      </c>
      <c r="M545" s="21">
        <f t="shared" si="152"/>
        <v>1</v>
      </c>
      <c r="N545" s="21">
        <f t="shared" si="153"/>
        <v>1</v>
      </c>
      <c r="O545" s="21">
        <f t="shared" si="154"/>
        <v>1</v>
      </c>
      <c r="P545" s="21">
        <f t="shared" si="155"/>
        <v>1</v>
      </c>
      <c r="Q545" s="21">
        <f t="shared" si="156"/>
        <v>1</v>
      </c>
      <c r="R545" s="21">
        <f t="shared" si="157"/>
        <v>1</v>
      </c>
      <c r="S545" s="21">
        <f t="shared" si="158"/>
        <v>1</v>
      </c>
      <c r="T545" s="21">
        <f t="shared" si="159"/>
        <v>1</v>
      </c>
      <c r="U545" s="21">
        <f t="shared" si="160"/>
        <v>1</v>
      </c>
      <c r="V545" s="21">
        <f t="shared" si="161"/>
        <v>1</v>
      </c>
    </row>
    <row r="546" spans="1:22" x14ac:dyDescent="0.25">
      <c r="A546">
        <f>Tabelle2!A562</f>
        <v>0</v>
      </c>
      <c r="B546">
        <f>Tabelle2!$N562+(B$11*Tabelle2!$O562)</f>
        <v>0</v>
      </c>
      <c r="C546">
        <f>Tabelle2!$N562+(C$11*Tabelle2!$O562)</f>
        <v>0</v>
      </c>
      <c r="D546">
        <f>Tabelle2!$N562+(D$11*Tabelle2!$O562)</f>
        <v>0</v>
      </c>
      <c r="E546" s="21">
        <f t="shared" si="144"/>
        <v>1</v>
      </c>
      <c r="F546" s="21">
        <f t="shared" si="145"/>
        <v>1</v>
      </c>
      <c r="G546" s="21">
        <f t="shared" si="146"/>
        <v>1</v>
      </c>
      <c r="H546" s="21">
        <f t="shared" si="147"/>
        <v>1</v>
      </c>
      <c r="I546" s="21">
        <f t="shared" si="148"/>
        <v>1</v>
      </c>
      <c r="J546" s="21">
        <f t="shared" si="149"/>
        <v>1</v>
      </c>
      <c r="K546" s="21">
        <f t="shared" si="150"/>
        <v>1</v>
      </c>
      <c r="L546" s="21">
        <f t="shared" si="151"/>
        <v>1</v>
      </c>
      <c r="M546" s="21">
        <f t="shared" si="152"/>
        <v>1</v>
      </c>
      <c r="N546" s="21">
        <f t="shared" si="153"/>
        <v>1</v>
      </c>
      <c r="O546" s="21">
        <f t="shared" si="154"/>
        <v>1</v>
      </c>
      <c r="P546" s="21">
        <f t="shared" si="155"/>
        <v>1</v>
      </c>
      <c r="Q546" s="21">
        <f t="shared" si="156"/>
        <v>1</v>
      </c>
      <c r="R546" s="21">
        <f t="shared" si="157"/>
        <v>1</v>
      </c>
      <c r="S546" s="21">
        <f t="shared" si="158"/>
        <v>1</v>
      </c>
      <c r="T546" s="21">
        <f t="shared" si="159"/>
        <v>1</v>
      </c>
      <c r="U546" s="21">
        <f t="shared" si="160"/>
        <v>1</v>
      </c>
      <c r="V546" s="21">
        <f t="shared" si="161"/>
        <v>1</v>
      </c>
    </row>
    <row r="547" spans="1:22" x14ac:dyDescent="0.25">
      <c r="A547">
        <f>Tabelle2!A563</f>
        <v>0</v>
      </c>
      <c r="B547">
        <f>Tabelle2!$N563+(B$11*Tabelle2!$O563)</f>
        <v>0</v>
      </c>
      <c r="C547">
        <f>Tabelle2!$N563+(C$11*Tabelle2!$O563)</f>
        <v>0</v>
      </c>
      <c r="D547">
        <f>Tabelle2!$N563+(D$11*Tabelle2!$O563)</f>
        <v>0</v>
      </c>
      <c r="E547" s="21">
        <f t="shared" si="144"/>
        <v>1</v>
      </c>
      <c r="F547" s="21">
        <f t="shared" si="145"/>
        <v>1</v>
      </c>
      <c r="G547" s="21">
        <f t="shared" si="146"/>
        <v>1</v>
      </c>
      <c r="H547" s="21">
        <f t="shared" si="147"/>
        <v>1</v>
      </c>
      <c r="I547" s="21">
        <f t="shared" si="148"/>
        <v>1</v>
      </c>
      <c r="J547" s="21">
        <f t="shared" si="149"/>
        <v>1</v>
      </c>
      <c r="K547" s="21">
        <f t="shared" si="150"/>
        <v>1</v>
      </c>
      <c r="L547" s="21">
        <f t="shared" si="151"/>
        <v>1</v>
      </c>
      <c r="M547" s="21">
        <f t="shared" si="152"/>
        <v>1</v>
      </c>
      <c r="N547" s="21">
        <f t="shared" si="153"/>
        <v>1</v>
      </c>
      <c r="O547" s="21">
        <f t="shared" si="154"/>
        <v>1</v>
      </c>
      <c r="P547" s="21">
        <f t="shared" si="155"/>
        <v>1</v>
      </c>
      <c r="Q547" s="21">
        <f t="shared" si="156"/>
        <v>1</v>
      </c>
      <c r="R547" s="21">
        <f t="shared" si="157"/>
        <v>1</v>
      </c>
      <c r="S547" s="21">
        <f t="shared" si="158"/>
        <v>1</v>
      </c>
      <c r="T547" s="21">
        <f t="shared" si="159"/>
        <v>1</v>
      </c>
      <c r="U547" s="21">
        <f t="shared" si="160"/>
        <v>1</v>
      </c>
      <c r="V547" s="21">
        <f t="shared" si="161"/>
        <v>1</v>
      </c>
    </row>
    <row r="548" spans="1:22" x14ac:dyDescent="0.25">
      <c r="A548">
        <f>Tabelle2!A564</f>
        <v>0</v>
      </c>
      <c r="B548">
        <f>Tabelle2!$N564+(B$11*Tabelle2!$O564)</f>
        <v>0</v>
      </c>
      <c r="C548">
        <f>Tabelle2!$N564+(C$11*Tabelle2!$O564)</f>
        <v>0</v>
      </c>
      <c r="D548">
        <f>Tabelle2!$N564+(D$11*Tabelle2!$O564)</f>
        <v>0</v>
      </c>
      <c r="E548" s="21">
        <f t="shared" si="144"/>
        <v>1</v>
      </c>
      <c r="F548" s="21">
        <f t="shared" si="145"/>
        <v>1</v>
      </c>
      <c r="G548" s="21">
        <f t="shared" si="146"/>
        <v>1</v>
      </c>
      <c r="H548" s="21">
        <f t="shared" si="147"/>
        <v>1</v>
      </c>
      <c r="I548" s="21">
        <f t="shared" si="148"/>
        <v>1</v>
      </c>
      <c r="J548" s="21">
        <f t="shared" si="149"/>
        <v>1</v>
      </c>
      <c r="K548" s="21">
        <f t="shared" si="150"/>
        <v>1</v>
      </c>
      <c r="L548" s="21">
        <f t="shared" si="151"/>
        <v>1</v>
      </c>
      <c r="M548" s="21">
        <f t="shared" si="152"/>
        <v>1</v>
      </c>
      <c r="N548" s="21">
        <f t="shared" si="153"/>
        <v>1</v>
      </c>
      <c r="O548" s="21">
        <f t="shared" si="154"/>
        <v>1</v>
      </c>
      <c r="P548" s="21">
        <f t="shared" si="155"/>
        <v>1</v>
      </c>
      <c r="Q548" s="21">
        <f t="shared" si="156"/>
        <v>1</v>
      </c>
      <c r="R548" s="21">
        <f t="shared" si="157"/>
        <v>1</v>
      </c>
      <c r="S548" s="21">
        <f t="shared" si="158"/>
        <v>1</v>
      </c>
      <c r="T548" s="21">
        <f t="shared" si="159"/>
        <v>1</v>
      </c>
      <c r="U548" s="21">
        <f t="shared" si="160"/>
        <v>1</v>
      </c>
      <c r="V548" s="21">
        <f t="shared" si="161"/>
        <v>1</v>
      </c>
    </row>
    <row r="549" spans="1:22" x14ac:dyDescent="0.25">
      <c r="A549">
        <f>Tabelle2!A565</f>
        <v>0</v>
      </c>
      <c r="B549">
        <f>Tabelle2!$N565+(B$11*Tabelle2!$O565)</f>
        <v>0</v>
      </c>
      <c r="C549">
        <f>Tabelle2!$N565+(C$11*Tabelle2!$O565)</f>
        <v>0</v>
      </c>
      <c r="D549">
        <f>Tabelle2!$N565+(D$11*Tabelle2!$O565)</f>
        <v>0</v>
      </c>
      <c r="E549" s="21">
        <f t="shared" si="144"/>
        <v>1</v>
      </c>
      <c r="F549" s="21">
        <f t="shared" si="145"/>
        <v>1</v>
      </c>
      <c r="G549" s="21">
        <f t="shared" si="146"/>
        <v>1</v>
      </c>
      <c r="H549" s="21">
        <f t="shared" si="147"/>
        <v>1</v>
      </c>
      <c r="I549" s="21">
        <f t="shared" si="148"/>
        <v>1</v>
      </c>
      <c r="J549" s="21">
        <f t="shared" si="149"/>
        <v>1</v>
      </c>
      <c r="K549" s="21">
        <f t="shared" si="150"/>
        <v>1</v>
      </c>
      <c r="L549" s="21">
        <f t="shared" si="151"/>
        <v>1</v>
      </c>
      <c r="M549" s="21">
        <f t="shared" si="152"/>
        <v>1</v>
      </c>
      <c r="N549" s="21">
        <f t="shared" si="153"/>
        <v>1</v>
      </c>
      <c r="O549" s="21">
        <f t="shared" si="154"/>
        <v>1</v>
      </c>
      <c r="P549" s="21">
        <f t="shared" si="155"/>
        <v>1</v>
      </c>
      <c r="Q549" s="21">
        <f t="shared" si="156"/>
        <v>1</v>
      </c>
      <c r="R549" s="21">
        <f t="shared" si="157"/>
        <v>1</v>
      </c>
      <c r="S549" s="21">
        <f t="shared" si="158"/>
        <v>1</v>
      </c>
      <c r="T549" s="21">
        <f t="shared" si="159"/>
        <v>1</v>
      </c>
      <c r="U549" s="21">
        <f t="shared" si="160"/>
        <v>1</v>
      </c>
      <c r="V549" s="21">
        <f t="shared" si="161"/>
        <v>1</v>
      </c>
    </row>
    <row r="550" spans="1:22" x14ac:dyDescent="0.25">
      <c r="A550">
        <f>Tabelle2!A566</f>
        <v>0</v>
      </c>
      <c r="B550">
        <f>Tabelle2!$N566+(B$11*Tabelle2!$O566)</f>
        <v>0</v>
      </c>
      <c r="C550">
        <f>Tabelle2!$N566+(C$11*Tabelle2!$O566)</f>
        <v>0</v>
      </c>
      <c r="D550">
        <f>Tabelle2!$N566+(D$11*Tabelle2!$O566)</f>
        <v>0</v>
      </c>
      <c r="E550" s="21">
        <f t="shared" si="144"/>
        <v>1</v>
      </c>
      <c r="F550" s="21">
        <f t="shared" si="145"/>
        <v>1</v>
      </c>
      <c r="G550" s="21">
        <f t="shared" si="146"/>
        <v>1</v>
      </c>
      <c r="H550" s="21">
        <f t="shared" si="147"/>
        <v>1</v>
      </c>
      <c r="I550" s="21">
        <f t="shared" si="148"/>
        <v>1</v>
      </c>
      <c r="J550" s="21">
        <f t="shared" si="149"/>
        <v>1</v>
      </c>
      <c r="K550" s="21">
        <f t="shared" si="150"/>
        <v>1</v>
      </c>
      <c r="L550" s="21">
        <f t="shared" si="151"/>
        <v>1</v>
      </c>
      <c r="M550" s="21">
        <f t="shared" si="152"/>
        <v>1</v>
      </c>
      <c r="N550" s="21">
        <f t="shared" si="153"/>
        <v>1</v>
      </c>
      <c r="O550" s="21">
        <f t="shared" si="154"/>
        <v>1</v>
      </c>
      <c r="P550" s="21">
        <f t="shared" si="155"/>
        <v>1</v>
      </c>
      <c r="Q550" s="21">
        <f t="shared" si="156"/>
        <v>1</v>
      </c>
      <c r="R550" s="21">
        <f t="shared" si="157"/>
        <v>1</v>
      </c>
      <c r="S550" s="21">
        <f t="shared" si="158"/>
        <v>1</v>
      </c>
      <c r="T550" s="21">
        <f t="shared" si="159"/>
        <v>1</v>
      </c>
      <c r="U550" s="21">
        <f t="shared" si="160"/>
        <v>1</v>
      </c>
      <c r="V550" s="21">
        <f t="shared" si="161"/>
        <v>1</v>
      </c>
    </row>
    <row r="551" spans="1:22" x14ac:dyDescent="0.25">
      <c r="A551">
        <f>Tabelle2!A567</f>
        <v>0</v>
      </c>
      <c r="B551">
        <f>Tabelle2!$N567+(B$11*Tabelle2!$O567)</f>
        <v>0</v>
      </c>
      <c r="C551">
        <f>Tabelle2!$N567+(C$11*Tabelle2!$O567)</f>
        <v>0</v>
      </c>
      <c r="D551">
        <f>Tabelle2!$N567+(D$11*Tabelle2!$O567)</f>
        <v>0</v>
      </c>
      <c r="E551" s="21">
        <f t="shared" si="144"/>
        <v>1</v>
      </c>
      <c r="F551" s="21">
        <f t="shared" si="145"/>
        <v>1</v>
      </c>
      <c r="G551" s="21">
        <f t="shared" si="146"/>
        <v>1</v>
      </c>
      <c r="H551" s="21">
        <f t="shared" si="147"/>
        <v>1</v>
      </c>
      <c r="I551" s="21">
        <f t="shared" si="148"/>
        <v>1</v>
      </c>
      <c r="J551" s="21">
        <f t="shared" si="149"/>
        <v>1</v>
      </c>
      <c r="K551" s="21">
        <f t="shared" si="150"/>
        <v>1</v>
      </c>
      <c r="L551" s="21">
        <f t="shared" si="151"/>
        <v>1</v>
      </c>
      <c r="M551" s="21">
        <f t="shared" si="152"/>
        <v>1</v>
      </c>
      <c r="N551" s="21">
        <f t="shared" si="153"/>
        <v>1</v>
      </c>
      <c r="O551" s="21">
        <f t="shared" si="154"/>
        <v>1</v>
      </c>
      <c r="P551" s="21">
        <f t="shared" si="155"/>
        <v>1</v>
      </c>
      <c r="Q551" s="21">
        <f t="shared" si="156"/>
        <v>1</v>
      </c>
      <c r="R551" s="21">
        <f t="shared" si="157"/>
        <v>1</v>
      </c>
      <c r="S551" s="21">
        <f t="shared" si="158"/>
        <v>1</v>
      </c>
      <c r="T551" s="21">
        <f t="shared" si="159"/>
        <v>1</v>
      </c>
      <c r="U551" s="21">
        <f t="shared" si="160"/>
        <v>1</v>
      </c>
      <c r="V551" s="21">
        <f t="shared" si="161"/>
        <v>1</v>
      </c>
    </row>
    <row r="552" spans="1:22" x14ac:dyDescent="0.25">
      <c r="A552">
        <f>Tabelle2!A568</f>
        <v>0</v>
      </c>
      <c r="B552">
        <f>Tabelle2!$N568+(B$11*Tabelle2!$O568)</f>
        <v>0</v>
      </c>
      <c r="C552">
        <f>Tabelle2!$N568+(C$11*Tabelle2!$O568)</f>
        <v>0</v>
      </c>
      <c r="D552">
        <f>Tabelle2!$N568+(D$11*Tabelle2!$O568)</f>
        <v>0</v>
      </c>
      <c r="E552" s="21">
        <f t="shared" si="144"/>
        <v>1</v>
      </c>
      <c r="F552" s="21">
        <f t="shared" si="145"/>
        <v>1</v>
      </c>
      <c r="G552" s="21">
        <f t="shared" si="146"/>
        <v>1</v>
      </c>
      <c r="H552" s="21">
        <f t="shared" si="147"/>
        <v>1</v>
      </c>
      <c r="I552" s="21">
        <f t="shared" si="148"/>
        <v>1</v>
      </c>
      <c r="J552" s="21">
        <f t="shared" si="149"/>
        <v>1</v>
      </c>
      <c r="K552" s="21">
        <f t="shared" si="150"/>
        <v>1</v>
      </c>
      <c r="L552" s="21">
        <f t="shared" si="151"/>
        <v>1</v>
      </c>
      <c r="M552" s="21">
        <f t="shared" si="152"/>
        <v>1</v>
      </c>
      <c r="N552" s="21">
        <f t="shared" si="153"/>
        <v>1</v>
      </c>
      <c r="O552" s="21">
        <f t="shared" si="154"/>
        <v>1</v>
      </c>
      <c r="P552" s="21">
        <f t="shared" si="155"/>
        <v>1</v>
      </c>
      <c r="Q552" s="21">
        <f t="shared" si="156"/>
        <v>1</v>
      </c>
      <c r="R552" s="21">
        <f t="shared" si="157"/>
        <v>1</v>
      </c>
      <c r="S552" s="21">
        <f t="shared" si="158"/>
        <v>1</v>
      </c>
      <c r="T552" s="21">
        <f t="shared" si="159"/>
        <v>1</v>
      </c>
      <c r="U552" s="21">
        <f t="shared" si="160"/>
        <v>1</v>
      </c>
      <c r="V552" s="21">
        <f t="shared" si="161"/>
        <v>1</v>
      </c>
    </row>
    <row r="553" spans="1:22" x14ac:dyDescent="0.25">
      <c r="A553">
        <f>Tabelle2!A569</f>
        <v>0</v>
      </c>
      <c r="B553">
        <f>Tabelle2!$N569+(B$11*Tabelle2!$O569)</f>
        <v>0</v>
      </c>
      <c r="C553">
        <f>Tabelle2!$N569+(C$11*Tabelle2!$O569)</f>
        <v>0</v>
      </c>
      <c r="D553">
        <f>Tabelle2!$N569+(D$11*Tabelle2!$O569)</f>
        <v>0</v>
      </c>
      <c r="E553" s="21">
        <f t="shared" si="144"/>
        <v>1</v>
      </c>
      <c r="F553" s="21">
        <f t="shared" si="145"/>
        <v>1</v>
      </c>
      <c r="G553" s="21">
        <f t="shared" si="146"/>
        <v>1</v>
      </c>
      <c r="H553" s="21">
        <f t="shared" si="147"/>
        <v>1</v>
      </c>
      <c r="I553" s="21">
        <f t="shared" si="148"/>
        <v>1</v>
      </c>
      <c r="J553" s="21">
        <f t="shared" si="149"/>
        <v>1</v>
      </c>
      <c r="K553" s="21">
        <f t="shared" si="150"/>
        <v>1</v>
      </c>
      <c r="L553" s="21">
        <f t="shared" si="151"/>
        <v>1</v>
      </c>
      <c r="M553" s="21">
        <f t="shared" si="152"/>
        <v>1</v>
      </c>
      <c r="N553" s="21">
        <f t="shared" si="153"/>
        <v>1</v>
      </c>
      <c r="O553" s="21">
        <f t="shared" si="154"/>
        <v>1</v>
      </c>
      <c r="P553" s="21">
        <f t="shared" si="155"/>
        <v>1</v>
      </c>
      <c r="Q553" s="21">
        <f t="shared" si="156"/>
        <v>1</v>
      </c>
      <c r="R553" s="21">
        <f t="shared" si="157"/>
        <v>1</v>
      </c>
      <c r="S553" s="21">
        <f t="shared" si="158"/>
        <v>1</v>
      </c>
      <c r="T553" s="21">
        <f t="shared" si="159"/>
        <v>1</v>
      </c>
      <c r="U553" s="21">
        <f t="shared" si="160"/>
        <v>1</v>
      </c>
      <c r="V553" s="21">
        <f t="shared" si="161"/>
        <v>1</v>
      </c>
    </row>
    <row r="554" spans="1:22" x14ac:dyDescent="0.25">
      <c r="A554">
        <f>Tabelle2!A570</f>
        <v>0</v>
      </c>
      <c r="B554">
        <f>Tabelle2!$N570+(B$11*Tabelle2!$O570)</f>
        <v>0</v>
      </c>
      <c r="C554">
        <f>Tabelle2!$N570+(C$11*Tabelle2!$O570)</f>
        <v>0</v>
      </c>
      <c r="D554">
        <f>Tabelle2!$N570+(D$11*Tabelle2!$O570)</f>
        <v>0</v>
      </c>
      <c r="E554" s="21">
        <f t="shared" si="144"/>
        <v>1</v>
      </c>
      <c r="F554" s="21">
        <f t="shared" si="145"/>
        <v>1</v>
      </c>
      <c r="G554" s="21">
        <f t="shared" si="146"/>
        <v>1</v>
      </c>
      <c r="H554" s="21">
        <f t="shared" si="147"/>
        <v>1</v>
      </c>
      <c r="I554" s="21">
        <f t="shared" si="148"/>
        <v>1</v>
      </c>
      <c r="J554" s="21">
        <f t="shared" si="149"/>
        <v>1</v>
      </c>
      <c r="K554" s="21">
        <f t="shared" si="150"/>
        <v>1</v>
      </c>
      <c r="L554" s="21">
        <f t="shared" si="151"/>
        <v>1</v>
      </c>
      <c r="M554" s="21">
        <f t="shared" si="152"/>
        <v>1</v>
      </c>
      <c r="N554" s="21">
        <f t="shared" si="153"/>
        <v>1</v>
      </c>
      <c r="O554" s="21">
        <f t="shared" si="154"/>
        <v>1</v>
      </c>
      <c r="P554" s="21">
        <f t="shared" si="155"/>
        <v>1</v>
      </c>
      <c r="Q554" s="21">
        <f t="shared" si="156"/>
        <v>1</v>
      </c>
      <c r="R554" s="21">
        <f t="shared" si="157"/>
        <v>1</v>
      </c>
      <c r="S554" s="21">
        <f t="shared" si="158"/>
        <v>1</v>
      </c>
      <c r="T554" s="21">
        <f t="shared" si="159"/>
        <v>1</v>
      </c>
      <c r="U554" s="21">
        <f t="shared" si="160"/>
        <v>1</v>
      </c>
      <c r="V554" s="21">
        <f t="shared" si="161"/>
        <v>1</v>
      </c>
    </row>
    <row r="555" spans="1:22" x14ac:dyDescent="0.25">
      <c r="A555">
        <f>Tabelle2!A571</f>
        <v>0</v>
      </c>
      <c r="B555">
        <f>Tabelle2!$N571+(B$11*Tabelle2!$O571)</f>
        <v>0</v>
      </c>
      <c r="C555">
        <f>Tabelle2!$N571+(C$11*Tabelle2!$O571)</f>
        <v>0</v>
      </c>
      <c r="D555">
        <f>Tabelle2!$N571+(D$11*Tabelle2!$O571)</f>
        <v>0</v>
      </c>
      <c r="E555" s="21">
        <f t="shared" si="144"/>
        <v>1</v>
      </c>
      <c r="F555" s="21">
        <f t="shared" si="145"/>
        <v>1</v>
      </c>
      <c r="G555" s="21">
        <f t="shared" si="146"/>
        <v>1</v>
      </c>
      <c r="H555" s="21">
        <f t="shared" si="147"/>
        <v>1</v>
      </c>
      <c r="I555" s="21">
        <f t="shared" si="148"/>
        <v>1</v>
      </c>
      <c r="J555" s="21">
        <f t="shared" si="149"/>
        <v>1</v>
      </c>
      <c r="K555" s="21">
        <f t="shared" si="150"/>
        <v>1</v>
      </c>
      <c r="L555" s="21">
        <f t="shared" si="151"/>
        <v>1</v>
      </c>
      <c r="M555" s="21">
        <f t="shared" si="152"/>
        <v>1</v>
      </c>
      <c r="N555" s="21">
        <f t="shared" si="153"/>
        <v>1</v>
      </c>
      <c r="O555" s="21">
        <f t="shared" si="154"/>
        <v>1</v>
      </c>
      <c r="P555" s="21">
        <f t="shared" si="155"/>
        <v>1</v>
      </c>
      <c r="Q555" s="21">
        <f t="shared" si="156"/>
        <v>1</v>
      </c>
      <c r="R555" s="21">
        <f t="shared" si="157"/>
        <v>1</v>
      </c>
      <c r="S555" s="21">
        <f t="shared" si="158"/>
        <v>1</v>
      </c>
      <c r="T555" s="21">
        <f t="shared" si="159"/>
        <v>1</v>
      </c>
      <c r="U555" s="21">
        <f t="shared" si="160"/>
        <v>1</v>
      </c>
      <c r="V555" s="21">
        <f t="shared" si="161"/>
        <v>1</v>
      </c>
    </row>
    <row r="556" spans="1:22" x14ac:dyDescent="0.25">
      <c r="A556">
        <f>Tabelle2!A572</f>
        <v>0</v>
      </c>
      <c r="B556">
        <f>Tabelle2!$N572+(B$11*Tabelle2!$O572)</f>
        <v>0</v>
      </c>
      <c r="C556">
        <f>Tabelle2!$N572+(C$11*Tabelle2!$O572)</f>
        <v>0</v>
      </c>
      <c r="D556">
        <f>Tabelle2!$N572+(D$11*Tabelle2!$O572)</f>
        <v>0</v>
      </c>
      <c r="E556" s="21">
        <f t="shared" si="144"/>
        <v>1</v>
      </c>
      <c r="F556" s="21">
        <f t="shared" si="145"/>
        <v>1</v>
      </c>
      <c r="G556" s="21">
        <f t="shared" si="146"/>
        <v>1</v>
      </c>
      <c r="H556" s="21">
        <f t="shared" si="147"/>
        <v>1</v>
      </c>
      <c r="I556" s="21">
        <f t="shared" si="148"/>
        <v>1</v>
      </c>
      <c r="J556" s="21">
        <f t="shared" si="149"/>
        <v>1</v>
      </c>
      <c r="K556" s="21">
        <f t="shared" si="150"/>
        <v>1</v>
      </c>
      <c r="L556" s="21">
        <f t="shared" si="151"/>
        <v>1</v>
      </c>
      <c r="M556" s="21">
        <f t="shared" si="152"/>
        <v>1</v>
      </c>
      <c r="N556" s="21">
        <f t="shared" si="153"/>
        <v>1</v>
      </c>
      <c r="O556" s="21">
        <f t="shared" si="154"/>
        <v>1</v>
      </c>
      <c r="P556" s="21">
        <f t="shared" si="155"/>
        <v>1</v>
      </c>
      <c r="Q556" s="21">
        <f t="shared" si="156"/>
        <v>1</v>
      </c>
      <c r="R556" s="21">
        <f t="shared" si="157"/>
        <v>1</v>
      </c>
      <c r="S556" s="21">
        <f t="shared" si="158"/>
        <v>1</v>
      </c>
      <c r="T556" s="21">
        <f t="shared" si="159"/>
        <v>1</v>
      </c>
      <c r="U556" s="21">
        <f t="shared" si="160"/>
        <v>1</v>
      </c>
      <c r="V556" s="21">
        <f t="shared" si="161"/>
        <v>1</v>
      </c>
    </row>
    <row r="557" spans="1:22" x14ac:dyDescent="0.25">
      <c r="A557">
        <f>Tabelle2!A573</f>
        <v>0</v>
      </c>
      <c r="B557">
        <f>Tabelle2!$N573+(B$11*Tabelle2!$O573)</f>
        <v>0</v>
      </c>
      <c r="C557">
        <f>Tabelle2!$N573+(C$11*Tabelle2!$O573)</f>
        <v>0</v>
      </c>
      <c r="D557">
        <f>Tabelle2!$N573+(D$11*Tabelle2!$O573)</f>
        <v>0</v>
      </c>
      <c r="E557" s="21">
        <f t="shared" si="144"/>
        <v>1</v>
      </c>
      <c r="F557" s="21">
        <f t="shared" si="145"/>
        <v>1</v>
      </c>
      <c r="G557" s="21">
        <f t="shared" si="146"/>
        <v>1</v>
      </c>
      <c r="H557" s="21">
        <f t="shared" si="147"/>
        <v>1</v>
      </c>
      <c r="I557" s="21">
        <f t="shared" si="148"/>
        <v>1</v>
      </c>
      <c r="J557" s="21">
        <f t="shared" si="149"/>
        <v>1</v>
      </c>
      <c r="K557" s="21">
        <f t="shared" si="150"/>
        <v>1</v>
      </c>
      <c r="L557" s="21">
        <f t="shared" si="151"/>
        <v>1</v>
      </c>
      <c r="M557" s="21">
        <f t="shared" si="152"/>
        <v>1</v>
      </c>
      <c r="N557" s="21">
        <f t="shared" si="153"/>
        <v>1</v>
      </c>
      <c r="O557" s="21">
        <f t="shared" si="154"/>
        <v>1</v>
      </c>
      <c r="P557" s="21">
        <f t="shared" si="155"/>
        <v>1</v>
      </c>
      <c r="Q557" s="21">
        <f t="shared" si="156"/>
        <v>1</v>
      </c>
      <c r="R557" s="21">
        <f t="shared" si="157"/>
        <v>1</v>
      </c>
      <c r="S557" s="21">
        <f t="shared" si="158"/>
        <v>1</v>
      </c>
      <c r="T557" s="21">
        <f t="shared" si="159"/>
        <v>1</v>
      </c>
      <c r="U557" s="21">
        <f t="shared" si="160"/>
        <v>1</v>
      </c>
      <c r="V557" s="21">
        <f t="shared" si="161"/>
        <v>1</v>
      </c>
    </row>
    <row r="558" spans="1:22" x14ac:dyDescent="0.25">
      <c r="A558">
        <f>Tabelle2!A574</f>
        <v>0</v>
      </c>
      <c r="B558">
        <f>Tabelle2!$N574+(B$11*Tabelle2!$O574)</f>
        <v>0</v>
      </c>
      <c r="C558">
        <f>Tabelle2!$N574+(C$11*Tabelle2!$O574)</f>
        <v>0</v>
      </c>
      <c r="D558">
        <f>Tabelle2!$N574+(D$11*Tabelle2!$O574)</f>
        <v>0</v>
      </c>
      <c r="E558" s="21">
        <f t="shared" si="144"/>
        <v>1</v>
      </c>
      <c r="F558" s="21">
        <f t="shared" si="145"/>
        <v>1</v>
      </c>
      <c r="G558" s="21">
        <f t="shared" si="146"/>
        <v>1</v>
      </c>
      <c r="H558" s="21">
        <f t="shared" si="147"/>
        <v>1</v>
      </c>
      <c r="I558" s="21">
        <f t="shared" si="148"/>
        <v>1</v>
      </c>
      <c r="J558" s="21">
        <f t="shared" si="149"/>
        <v>1</v>
      </c>
      <c r="K558" s="21">
        <f t="shared" si="150"/>
        <v>1</v>
      </c>
      <c r="L558" s="21">
        <f t="shared" si="151"/>
        <v>1</v>
      </c>
      <c r="M558" s="21">
        <f t="shared" si="152"/>
        <v>1</v>
      </c>
      <c r="N558" s="21">
        <f t="shared" si="153"/>
        <v>1</v>
      </c>
      <c r="O558" s="21">
        <f t="shared" si="154"/>
        <v>1</v>
      </c>
      <c r="P558" s="21">
        <f t="shared" si="155"/>
        <v>1</v>
      </c>
      <c r="Q558" s="21">
        <f t="shared" si="156"/>
        <v>1</v>
      </c>
      <c r="R558" s="21">
        <f t="shared" si="157"/>
        <v>1</v>
      </c>
      <c r="S558" s="21">
        <f t="shared" si="158"/>
        <v>1</v>
      </c>
      <c r="T558" s="21">
        <f t="shared" si="159"/>
        <v>1</v>
      </c>
      <c r="U558" s="21">
        <f t="shared" si="160"/>
        <v>1</v>
      </c>
      <c r="V558" s="21">
        <f t="shared" si="161"/>
        <v>1</v>
      </c>
    </row>
    <row r="559" spans="1:22" x14ac:dyDescent="0.25">
      <c r="A559">
        <f>Tabelle2!A575</f>
        <v>0</v>
      </c>
      <c r="B559">
        <f>Tabelle2!$N575+(B$11*Tabelle2!$O575)</f>
        <v>0</v>
      </c>
      <c r="C559">
        <f>Tabelle2!$N575+(C$11*Tabelle2!$O575)</f>
        <v>0</v>
      </c>
      <c r="D559">
        <f>Tabelle2!$N575+(D$11*Tabelle2!$O575)</f>
        <v>0</v>
      </c>
      <c r="E559" s="21">
        <f t="shared" si="144"/>
        <v>1</v>
      </c>
      <c r="F559" s="21">
        <f t="shared" si="145"/>
        <v>1</v>
      </c>
      <c r="G559" s="21">
        <f t="shared" si="146"/>
        <v>1</v>
      </c>
      <c r="H559" s="21">
        <f t="shared" si="147"/>
        <v>1</v>
      </c>
      <c r="I559" s="21">
        <f t="shared" si="148"/>
        <v>1</v>
      </c>
      <c r="J559" s="21">
        <f t="shared" si="149"/>
        <v>1</v>
      </c>
      <c r="K559" s="21">
        <f t="shared" si="150"/>
        <v>1</v>
      </c>
      <c r="L559" s="21">
        <f t="shared" si="151"/>
        <v>1</v>
      </c>
      <c r="M559" s="21">
        <f t="shared" si="152"/>
        <v>1</v>
      </c>
      <c r="N559" s="21">
        <f t="shared" si="153"/>
        <v>1</v>
      </c>
      <c r="O559" s="21">
        <f t="shared" si="154"/>
        <v>1</v>
      </c>
      <c r="P559" s="21">
        <f t="shared" si="155"/>
        <v>1</v>
      </c>
      <c r="Q559" s="21">
        <f t="shared" si="156"/>
        <v>1</v>
      </c>
      <c r="R559" s="21">
        <f t="shared" si="157"/>
        <v>1</v>
      </c>
      <c r="S559" s="21">
        <f t="shared" si="158"/>
        <v>1</v>
      </c>
      <c r="T559" s="21">
        <f t="shared" si="159"/>
        <v>1</v>
      </c>
      <c r="U559" s="21">
        <f t="shared" si="160"/>
        <v>1</v>
      </c>
      <c r="V559" s="21">
        <f t="shared" si="161"/>
        <v>1</v>
      </c>
    </row>
    <row r="560" spans="1:22" x14ac:dyDescent="0.25">
      <c r="A560">
        <f>Tabelle2!A576</f>
        <v>0</v>
      </c>
      <c r="B560">
        <f>Tabelle2!$N576+(B$11*Tabelle2!$O576)</f>
        <v>0</v>
      </c>
      <c r="C560">
        <f>Tabelle2!$N576+(C$11*Tabelle2!$O576)</f>
        <v>0</v>
      </c>
      <c r="D560">
        <f>Tabelle2!$N576+(D$11*Tabelle2!$O576)</f>
        <v>0</v>
      </c>
      <c r="E560" s="21">
        <f t="shared" si="144"/>
        <v>1</v>
      </c>
      <c r="F560" s="21">
        <f t="shared" si="145"/>
        <v>1</v>
      </c>
      <c r="G560" s="21">
        <f t="shared" si="146"/>
        <v>1</v>
      </c>
      <c r="H560" s="21">
        <f t="shared" si="147"/>
        <v>1</v>
      </c>
      <c r="I560" s="21">
        <f t="shared" si="148"/>
        <v>1</v>
      </c>
      <c r="J560" s="21">
        <f t="shared" si="149"/>
        <v>1</v>
      </c>
      <c r="K560" s="21">
        <f t="shared" si="150"/>
        <v>1</v>
      </c>
      <c r="L560" s="21">
        <f t="shared" si="151"/>
        <v>1</v>
      </c>
      <c r="M560" s="21">
        <f t="shared" si="152"/>
        <v>1</v>
      </c>
      <c r="N560" s="21">
        <f t="shared" si="153"/>
        <v>1</v>
      </c>
      <c r="O560" s="21">
        <f t="shared" si="154"/>
        <v>1</v>
      </c>
      <c r="P560" s="21">
        <f t="shared" si="155"/>
        <v>1</v>
      </c>
      <c r="Q560" s="21">
        <f t="shared" si="156"/>
        <v>1</v>
      </c>
      <c r="R560" s="21">
        <f t="shared" si="157"/>
        <v>1</v>
      </c>
      <c r="S560" s="21">
        <f t="shared" si="158"/>
        <v>1</v>
      </c>
      <c r="T560" s="21">
        <f t="shared" si="159"/>
        <v>1</v>
      </c>
      <c r="U560" s="21">
        <f t="shared" si="160"/>
        <v>1</v>
      </c>
      <c r="V560" s="21">
        <f t="shared" si="161"/>
        <v>1</v>
      </c>
    </row>
    <row r="561" spans="1:22" x14ac:dyDescent="0.25">
      <c r="A561">
        <f>Tabelle2!A577</f>
        <v>0</v>
      </c>
      <c r="B561">
        <f>Tabelle2!$N577+(B$11*Tabelle2!$O577)</f>
        <v>0</v>
      </c>
      <c r="C561">
        <f>Tabelle2!$N577+(C$11*Tabelle2!$O577)</f>
        <v>0</v>
      </c>
      <c r="D561">
        <f>Tabelle2!$N577+(D$11*Tabelle2!$O577)</f>
        <v>0</v>
      </c>
      <c r="E561" s="21">
        <f t="shared" si="144"/>
        <v>1</v>
      </c>
      <c r="F561" s="21">
        <f t="shared" si="145"/>
        <v>1</v>
      </c>
      <c r="G561" s="21">
        <f t="shared" si="146"/>
        <v>1</v>
      </c>
      <c r="H561" s="21">
        <f t="shared" si="147"/>
        <v>1</v>
      </c>
      <c r="I561" s="21">
        <f t="shared" si="148"/>
        <v>1</v>
      </c>
      <c r="J561" s="21">
        <f t="shared" si="149"/>
        <v>1</v>
      </c>
      <c r="K561" s="21">
        <f t="shared" si="150"/>
        <v>1</v>
      </c>
      <c r="L561" s="21">
        <f t="shared" si="151"/>
        <v>1</v>
      </c>
      <c r="M561" s="21">
        <f t="shared" si="152"/>
        <v>1</v>
      </c>
      <c r="N561" s="21">
        <f t="shared" si="153"/>
        <v>1</v>
      </c>
      <c r="O561" s="21">
        <f t="shared" si="154"/>
        <v>1</v>
      </c>
      <c r="P561" s="21">
        <f t="shared" si="155"/>
        <v>1</v>
      </c>
      <c r="Q561" s="21">
        <f t="shared" si="156"/>
        <v>1</v>
      </c>
      <c r="R561" s="21">
        <f t="shared" si="157"/>
        <v>1</v>
      </c>
      <c r="S561" s="21">
        <f t="shared" si="158"/>
        <v>1</v>
      </c>
      <c r="T561" s="21">
        <f t="shared" si="159"/>
        <v>1</v>
      </c>
      <c r="U561" s="21">
        <f t="shared" si="160"/>
        <v>1</v>
      </c>
      <c r="V561" s="21">
        <f t="shared" si="161"/>
        <v>1</v>
      </c>
    </row>
    <row r="562" spans="1:22" x14ac:dyDescent="0.25">
      <c r="A562">
        <f>Tabelle2!A578</f>
        <v>0</v>
      </c>
      <c r="B562">
        <f>Tabelle2!$N578+(B$11*Tabelle2!$O578)</f>
        <v>0</v>
      </c>
      <c r="C562">
        <f>Tabelle2!$N578+(C$11*Tabelle2!$O578)</f>
        <v>0</v>
      </c>
      <c r="D562">
        <f>Tabelle2!$N578+(D$11*Tabelle2!$O578)</f>
        <v>0</v>
      </c>
      <c r="E562" s="21">
        <f t="shared" si="144"/>
        <v>1</v>
      </c>
      <c r="F562" s="21">
        <f t="shared" si="145"/>
        <v>1</v>
      </c>
      <c r="G562" s="21">
        <f t="shared" si="146"/>
        <v>1</v>
      </c>
      <c r="H562" s="21">
        <f t="shared" si="147"/>
        <v>1</v>
      </c>
      <c r="I562" s="21">
        <f t="shared" si="148"/>
        <v>1</v>
      </c>
      <c r="J562" s="21">
        <f t="shared" si="149"/>
        <v>1</v>
      </c>
      <c r="K562" s="21">
        <f t="shared" si="150"/>
        <v>1</v>
      </c>
      <c r="L562" s="21">
        <f t="shared" si="151"/>
        <v>1</v>
      </c>
      <c r="M562" s="21">
        <f t="shared" si="152"/>
        <v>1</v>
      </c>
      <c r="N562" s="21">
        <f t="shared" si="153"/>
        <v>1</v>
      </c>
      <c r="O562" s="21">
        <f t="shared" si="154"/>
        <v>1</v>
      </c>
      <c r="P562" s="21">
        <f t="shared" si="155"/>
        <v>1</v>
      </c>
      <c r="Q562" s="21">
        <f t="shared" si="156"/>
        <v>1</v>
      </c>
      <c r="R562" s="21">
        <f t="shared" si="157"/>
        <v>1</v>
      </c>
      <c r="S562" s="21">
        <f t="shared" si="158"/>
        <v>1</v>
      </c>
      <c r="T562" s="21">
        <f t="shared" si="159"/>
        <v>1</v>
      </c>
      <c r="U562" s="21">
        <f t="shared" si="160"/>
        <v>1</v>
      </c>
      <c r="V562" s="21">
        <f t="shared" si="161"/>
        <v>1</v>
      </c>
    </row>
    <row r="563" spans="1:22" x14ac:dyDescent="0.25">
      <c r="A563">
        <f>Tabelle2!A579</f>
        <v>0</v>
      </c>
      <c r="B563">
        <f>Tabelle2!$N579+(B$11*Tabelle2!$O579)</f>
        <v>0</v>
      </c>
      <c r="C563">
        <f>Tabelle2!$N579+(C$11*Tabelle2!$O579)</f>
        <v>0</v>
      </c>
      <c r="D563">
        <f>Tabelle2!$N579+(D$11*Tabelle2!$O579)</f>
        <v>0</v>
      </c>
      <c r="E563" s="21">
        <f t="shared" si="144"/>
        <v>1</v>
      </c>
      <c r="F563" s="21">
        <f t="shared" si="145"/>
        <v>1</v>
      </c>
      <c r="G563" s="21">
        <f t="shared" si="146"/>
        <v>1</v>
      </c>
      <c r="H563" s="21">
        <f t="shared" si="147"/>
        <v>1</v>
      </c>
      <c r="I563" s="21">
        <f t="shared" si="148"/>
        <v>1</v>
      </c>
      <c r="J563" s="21">
        <f t="shared" si="149"/>
        <v>1</v>
      </c>
      <c r="K563" s="21">
        <f t="shared" si="150"/>
        <v>1</v>
      </c>
      <c r="L563" s="21">
        <f t="shared" si="151"/>
        <v>1</v>
      </c>
      <c r="M563" s="21">
        <f t="shared" si="152"/>
        <v>1</v>
      </c>
      <c r="N563" s="21">
        <f t="shared" si="153"/>
        <v>1</v>
      </c>
      <c r="O563" s="21">
        <f t="shared" si="154"/>
        <v>1</v>
      </c>
      <c r="P563" s="21">
        <f t="shared" si="155"/>
        <v>1</v>
      </c>
      <c r="Q563" s="21">
        <f t="shared" si="156"/>
        <v>1</v>
      </c>
      <c r="R563" s="21">
        <f t="shared" si="157"/>
        <v>1</v>
      </c>
      <c r="S563" s="21">
        <f t="shared" si="158"/>
        <v>1</v>
      </c>
      <c r="T563" s="21">
        <f t="shared" si="159"/>
        <v>1</v>
      </c>
      <c r="U563" s="21">
        <f t="shared" si="160"/>
        <v>1</v>
      </c>
      <c r="V563" s="21">
        <f t="shared" si="161"/>
        <v>1</v>
      </c>
    </row>
    <row r="564" spans="1:22" x14ac:dyDescent="0.25">
      <c r="A564">
        <f>Tabelle2!A580</f>
        <v>0</v>
      </c>
      <c r="B564">
        <f>Tabelle2!$N580+(B$11*Tabelle2!$O580)</f>
        <v>0</v>
      </c>
      <c r="C564">
        <f>Tabelle2!$N580+(C$11*Tabelle2!$O580)</f>
        <v>0</v>
      </c>
      <c r="D564">
        <f>Tabelle2!$N580+(D$11*Tabelle2!$O580)</f>
        <v>0</v>
      </c>
      <c r="E564" s="21">
        <f t="shared" si="144"/>
        <v>1</v>
      </c>
      <c r="F564" s="21">
        <f t="shared" si="145"/>
        <v>1</v>
      </c>
      <c r="G564" s="21">
        <f t="shared" si="146"/>
        <v>1</v>
      </c>
      <c r="H564" s="21">
        <f t="shared" si="147"/>
        <v>1</v>
      </c>
      <c r="I564" s="21">
        <f t="shared" si="148"/>
        <v>1</v>
      </c>
      <c r="J564" s="21">
        <f t="shared" si="149"/>
        <v>1</v>
      </c>
      <c r="K564" s="21">
        <f t="shared" si="150"/>
        <v>1</v>
      </c>
      <c r="L564" s="21">
        <f t="shared" si="151"/>
        <v>1</v>
      </c>
      <c r="M564" s="21">
        <f t="shared" si="152"/>
        <v>1</v>
      </c>
      <c r="N564" s="21">
        <f t="shared" si="153"/>
        <v>1</v>
      </c>
      <c r="O564" s="21">
        <f t="shared" si="154"/>
        <v>1</v>
      </c>
      <c r="P564" s="21">
        <f t="shared" si="155"/>
        <v>1</v>
      </c>
      <c r="Q564" s="21">
        <f t="shared" si="156"/>
        <v>1</v>
      </c>
      <c r="R564" s="21">
        <f t="shared" si="157"/>
        <v>1</v>
      </c>
      <c r="S564" s="21">
        <f t="shared" si="158"/>
        <v>1</v>
      </c>
      <c r="T564" s="21">
        <f t="shared" si="159"/>
        <v>1</v>
      </c>
      <c r="U564" s="21">
        <f t="shared" si="160"/>
        <v>1</v>
      </c>
      <c r="V564" s="21">
        <f t="shared" si="161"/>
        <v>1</v>
      </c>
    </row>
    <row r="565" spans="1:22" x14ac:dyDescent="0.25">
      <c r="A565">
        <f>Tabelle2!A581</f>
        <v>0</v>
      </c>
      <c r="B565">
        <f>Tabelle2!$N581+(B$11*Tabelle2!$O581)</f>
        <v>0</v>
      </c>
      <c r="C565">
        <f>Tabelle2!$N581+(C$11*Tabelle2!$O581)</f>
        <v>0</v>
      </c>
      <c r="D565">
        <f>Tabelle2!$N581+(D$11*Tabelle2!$O581)</f>
        <v>0</v>
      </c>
      <c r="E565" s="21">
        <f t="shared" si="144"/>
        <v>1</v>
      </c>
      <c r="F565" s="21">
        <f t="shared" si="145"/>
        <v>1</v>
      </c>
      <c r="G565" s="21">
        <f t="shared" si="146"/>
        <v>1</v>
      </c>
      <c r="H565" s="21">
        <f t="shared" si="147"/>
        <v>1</v>
      </c>
      <c r="I565" s="21">
        <f t="shared" si="148"/>
        <v>1</v>
      </c>
      <c r="J565" s="21">
        <f t="shared" si="149"/>
        <v>1</v>
      </c>
      <c r="K565" s="21">
        <f t="shared" si="150"/>
        <v>1</v>
      </c>
      <c r="L565" s="21">
        <f t="shared" si="151"/>
        <v>1</v>
      </c>
      <c r="M565" s="21">
        <f t="shared" si="152"/>
        <v>1</v>
      </c>
      <c r="N565" s="21">
        <f t="shared" si="153"/>
        <v>1</v>
      </c>
      <c r="O565" s="21">
        <f t="shared" si="154"/>
        <v>1</v>
      </c>
      <c r="P565" s="21">
        <f t="shared" si="155"/>
        <v>1</v>
      </c>
      <c r="Q565" s="21">
        <f t="shared" si="156"/>
        <v>1</v>
      </c>
      <c r="R565" s="21">
        <f t="shared" si="157"/>
        <v>1</v>
      </c>
      <c r="S565" s="21">
        <f t="shared" si="158"/>
        <v>1</v>
      </c>
      <c r="T565" s="21">
        <f t="shared" si="159"/>
        <v>1</v>
      </c>
      <c r="U565" s="21">
        <f t="shared" si="160"/>
        <v>1</v>
      </c>
      <c r="V565" s="21">
        <f t="shared" si="161"/>
        <v>1</v>
      </c>
    </row>
    <row r="566" spans="1:22" x14ac:dyDescent="0.25">
      <c r="A566">
        <f>Tabelle2!A582</f>
        <v>0</v>
      </c>
      <c r="B566">
        <f>Tabelle2!$N582+(B$11*Tabelle2!$O582)</f>
        <v>0</v>
      </c>
      <c r="C566">
        <f>Tabelle2!$N582+(C$11*Tabelle2!$O582)</f>
        <v>0</v>
      </c>
      <c r="D566">
        <f>Tabelle2!$N582+(D$11*Tabelle2!$O582)</f>
        <v>0</v>
      </c>
      <c r="E566" s="21">
        <f t="shared" si="144"/>
        <v>1</v>
      </c>
      <c r="F566" s="21">
        <f t="shared" si="145"/>
        <v>1</v>
      </c>
      <c r="G566" s="21">
        <f t="shared" si="146"/>
        <v>1</v>
      </c>
      <c r="H566" s="21">
        <f t="shared" si="147"/>
        <v>1</v>
      </c>
      <c r="I566" s="21">
        <f t="shared" si="148"/>
        <v>1</v>
      </c>
      <c r="J566" s="21">
        <f t="shared" si="149"/>
        <v>1</v>
      </c>
      <c r="K566" s="21">
        <f t="shared" si="150"/>
        <v>1</v>
      </c>
      <c r="L566" s="21">
        <f t="shared" si="151"/>
        <v>1</v>
      </c>
      <c r="M566" s="21">
        <f t="shared" si="152"/>
        <v>1</v>
      </c>
      <c r="N566" s="21">
        <f t="shared" si="153"/>
        <v>1</v>
      </c>
      <c r="O566" s="21">
        <f t="shared" si="154"/>
        <v>1</v>
      </c>
      <c r="P566" s="21">
        <f t="shared" si="155"/>
        <v>1</v>
      </c>
      <c r="Q566" s="21">
        <f t="shared" si="156"/>
        <v>1</v>
      </c>
      <c r="R566" s="21">
        <f t="shared" si="157"/>
        <v>1</v>
      </c>
      <c r="S566" s="21">
        <f t="shared" si="158"/>
        <v>1</v>
      </c>
      <c r="T566" s="21">
        <f t="shared" si="159"/>
        <v>1</v>
      </c>
      <c r="U566" s="21">
        <f t="shared" si="160"/>
        <v>1</v>
      </c>
      <c r="V566" s="21">
        <f t="shared" si="161"/>
        <v>1</v>
      </c>
    </row>
    <row r="567" spans="1:22" x14ac:dyDescent="0.25">
      <c r="A567">
        <f>Tabelle2!A583</f>
        <v>0</v>
      </c>
      <c r="B567">
        <f>Tabelle2!$N583+(B$11*Tabelle2!$O583)</f>
        <v>0</v>
      </c>
      <c r="C567">
        <f>Tabelle2!$N583+(C$11*Tabelle2!$O583)</f>
        <v>0</v>
      </c>
      <c r="D567">
        <f>Tabelle2!$N583+(D$11*Tabelle2!$O583)</f>
        <v>0</v>
      </c>
      <c r="E567" s="21">
        <f t="shared" si="144"/>
        <v>1</v>
      </c>
      <c r="F567" s="21">
        <f t="shared" si="145"/>
        <v>1</v>
      </c>
      <c r="G567" s="21">
        <f t="shared" si="146"/>
        <v>1</v>
      </c>
      <c r="H567" s="21">
        <f t="shared" si="147"/>
        <v>1</v>
      </c>
      <c r="I567" s="21">
        <f t="shared" si="148"/>
        <v>1</v>
      </c>
      <c r="J567" s="21">
        <f t="shared" si="149"/>
        <v>1</v>
      </c>
      <c r="K567" s="21">
        <f t="shared" si="150"/>
        <v>1</v>
      </c>
      <c r="L567" s="21">
        <f t="shared" si="151"/>
        <v>1</v>
      </c>
      <c r="M567" s="21">
        <f t="shared" si="152"/>
        <v>1</v>
      </c>
      <c r="N567" s="21">
        <f t="shared" si="153"/>
        <v>1</v>
      </c>
      <c r="O567" s="21">
        <f t="shared" si="154"/>
        <v>1</v>
      </c>
      <c r="P567" s="21">
        <f t="shared" si="155"/>
        <v>1</v>
      </c>
      <c r="Q567" s="21">
        <f t="shared" si="156"/>
        <v>1</v>
      </c>
      <c r="R567" s="21">
        <f t="shared" si="157"/>
        <v>1</v>
      </c>
      <c r="S567" s="21">
        <f t="shared" si="158"/>
        <v>1</v>
      </c>
      <c r="T567" s="21">
        <f t="shared" si="159"/>
        <v>1</v>
      </c>
      <c r="U567" s="21">
        <f t="shared" si="160"/>
        <v>1</v>
      </c>
      <c r="V567" s="21">
        <f t="shared" si="161"/>
        <v>1</v>
      </c>
    </row>
    <row r="568" spans="1:22" x14ac:dyDescent="0.25">
      <c r="A568">
        <f>Tabelle2!A584</f>
        <v>0</v>
      </c>
      <c r="B568">
        <f>Tabelle2!$N584+(B$11*Tabelle2!$O584)</f>
        <v>0</v>
      </c>
      <c r="C568">
        <f>Tabelle2!$N584+(C$11*Tabelle2!$O584)</f>
        <v>0</v>
      </c>
      <c r="D568">
        <f>Tabelle2!$N584+(D$11*Tabelle2!$O584)</f>
        <v>0</v>
      </c>
      <c r="E568" s="21">
        <f t="shared" si="144"/>
        <v>1</v>
      </c>
      <c r="F568" s="21">
        <f t="shared" si="145"/>
        <v>1</v>
      </c>
      <c r="G568" s="21">
        <f t="shared" si="146"/>
        <v>1</v>
      </c>
      <c r="H568" s="21">
        <f t="shared" si="147"/>
        <v>1</v>
      </c>
      <c r="I568" s="21">
        <f t="shared" si="148"/>
        <v>1</v>
      </c>
      <c r="J568" s="21">
        <f t="shared" si="149"/>
        <v>1</v>
      </c>
      <c r="K568" s="21">
        <f t="shared" si="150"/>
        <v>1</v>
      </c>
      <c r="L568" s="21">
        <f t="shared" si="151"/>
        <v>1</v>
      </c>
      <c r="M568" s="21">
        <f t="shared" si="152"/>
        <v>1</v>
      </c>
      <c r="N568" s="21">
        <f t="shared" si="153"/>
        <v>1</v>
      </c>
      <c r="O568" s="21">
        <f t="shared" si="154"/>
        <v>1</v>
      </c>
      <c r="P568" s="21">
        <f t="shared" si="155"/>
        <v>1</v>
      </c>
      <c r="Q568" s="21">
        <f t="shared" si="156"/>
        <v>1</v>
      </c>
      <c r="R568" s="21">
        <f t="shared" si="157"/>
        <v>1</v>
      </c>
      <c r="S568" s="21">
        <f t="shared" si="158"/>
        <v>1</v>
      </c>
      <c r="T568" s="21">
        <f t="shared" si="159"/>
        <v>1</v>
      </c>
      <c r="U568" s="21">
        <f t="shared" si="160"/>
        <v>1</v>
      </c>
      <c r="V568" s="21">
        <f t="shared" si="161"/>
        <v>1</v>
      </c>
    </row>
    <row r="569" spans="1:22" x14ac:dyDescent="0.25">
      <c r="A569">
        <f>Tabelle2!A585</f>
        <v>0</v>
      </c>
      <c r="B569">
        <f>Tabelle2!$N585+(B$11*Tabelle2!$O585)</f>
        <v>0</v>
      </c>
      <c r="C569">
        <f>Tabelle2!$N585+(C$11*Tabelle2!$O585)</f>
        <v>0</v>
      </c>
      <c r="D569">
        <f>Tabelle2!$N585+(D$11*Tabelle2!$O585)</f>
        <v>0</v>
      </c>
      <c r="E569" s="21">
        <f t="shared" si="144"/>
        <v>1</v>
      </c>
      <c r="F569" s="21">
        <f t="shared" si="145"/>
        <v>1</v>
      </c>
      <c r="G569" s="21">
        <f t="shared" si="146"/>
        <v>1</v>
      </c>
      <c r="H569" s="21">
        <f t="shared" si="147"/>
        <v>1</v>
      </c>
      <c r="I569" s="21">
        <f t="shared" si="148"/>
        <v>1</v>
      </c>
      <c r="J569" s="21">
        <f t="shared" si="149"/>
        <v>1</v>
      </c>
      <c r="K569" s="21">
        <f t="shared" si="150"/>
        <v>1</v>
      </c>
      <c r="L569" s="21">
        <f t="shared" si="151"/>
        <v>1</v>
      </c>
      <c r="M569" s="21">
        <f t="shared" si="152"/>
        <v>1</v>
      </c>
      <c r="N569" s="21">
        <f t="shared" si="153"/>
        <v>1</v>
      </c>
      <c r="O569" s="21">
        <f t="shared" si="154"/>
        <v>1</v>
      </c>
      <c r="P569" s="21">
        <f t="shared" si="155"/>
        <v>1</v>
      </c>
      <c r="Q569" s="21">
        <f t="shared" si="156"/>
        <v>1</v>
      </c>
      <c r="R569" s="21">
        <f t="shared" si="157"/>
        <v>1</v>
      </c>
      <c r="S569" s="21">
        <f t="shared" si="158"/>
        <v>1</v>
      </c>
      <c r="T569" s="21">
        <f t="shared" si="159"/>
        <v>1</v>
      </c>
      <c r="U569" s="21">
        <f t="shared" si="160"/>
        <v>1</v>
      </c>
      <c r="V569" s="21">
        <f t="shared" si="161"/>
        <v>1</v>
      </c>
    </row>
    <row r="570" spans="1:22" x14ac:dyDescent="0.25">
      <c r="A570">
        <f>Tabelle2!A586</f>
        <v>0</v>
      </c>
      <c r="B570">
        <f>Tabelle2!$N586+(B$11*Tabelle2!$O586)</f>
        <v>0</v>
      </c>
      <c r="C570">
        <f>Tabelle2!$N586+(C$11*Tabelle2!$O586)</f>
        <v>0</v>
      </c>
      <c r="D570">
        <f>Tabelle2!$N586+(D$11*Tabelle2!$O586)</f>
        <v>0</v>
      </c>
      <c r="E570" s="21">
        <f t="shared" si="144"/>
        <v>1</v>
      </c>
      <c r="F570" s="21">
        <f t="shared" si="145"/>
        <v>1</v>
      </c>
      <c r="G570" s="21">
        <f t="shared" si="146"/>
        <v>1</v>
      </c>
      <c r="H570" s="21">
        <f t="shared" si="147"/>
        <v>1</v>
      </c>
      <c r="I570" s="21">
        <f t="shared" si="148"/>
        <v>1</v>
      </c>
      <c r="J570" s="21">
        <f t="shared" si="149"/>
        <v>1</v>
      </c>
      <c r="K570" s="21">
        <f t="shared" si="150"/>
        <v>1</v>
      </c>
      <c r="L570" s="21">
        <f t="shared" si="151"/>
        <v>1</v>
      </c>
      <c r="M570" s="21">
        <f t="shared" si="152"/>
        <v>1</v>
      </c>
      <c r="N570" s="21">
        <f t="shared" si="153"/>
        <v>1</v>
      </c>
      <c r="O570" s="21">
        <f t="shared" si="154"/>
        <v>1</v>
      </c>
      <c r="P570" s="21">
        <f t="shared" si="155"/>
        <v>1</v>
      </c>
      <c r="Q570" s="21">
        <f t="shared" si="156"/>
        <v>1</v>
      </c>
      <c r="R570" s="21">
        <f t="shared" si="157"/>
        <v>1</v>
      </c>
      <c r="S570" s="21">
        <f t="shared" si="158"/>
        <v>1</v>
      </c>
      <c r="T570" s="21">
        <f t="shared" si="159"/>
        <v>1</v>
      </c>
      <c r="U570" s="21">
        <f t="shared" si="160"/>
        <v>1</v>
      </c>
      <c r="V570" s="21">
        <f t="shared" si="161"/>
        <v>1</v>
      </c>
    </row>
    <row r="571" spans="1:22" x14ac:dyDescent="0.25">
      <c r="A571">
        <f>Tabelle2!A587</f>
        <v>0</v>
      </c>
      <c r="B571">
        <f>Tabelle2!$N587+(B$11*Tabelle2!$O587)</f>
        <v>0</v>
      </c>
      <c r="C571">
        <f>Tabelle2!$N587+(C$11*Tabelle2!$O587)</f>
        <v>0</v>
      </c>
      <c r="D571">
        <f>Tabelle2!$N587+(D$11*Tabelle2!$O587)</f>
        <v>0</v>
      </c>
      <c r="E571" s="21">
        <f t="shared" si="144"/>
        <v>1</v>
      </c>
      <c r="F571" s="21">
        <f t="shared" si="145"/>
        <v>1</v>
      </c>
      <c r="G571" s="21">
        <f t="shared" si="146"/>
        <v>1</v>
      </c>
      <c r="H571" s="21">
        <f t="shared" si="147"/>
        <v>1</v>
      </c>
      <c r="I571" s="21">
        <f t="shared" si="148"/>
        <v>1</v>
      </c>
      <c r="J571" s="21">
        <f t="shared" si="149"/>
        <v>1</v>
      </c>
      <c r="K571" s="21">
        <f t="shared" si="150"/>
        <v>1</v>
      </c>
      <c r="L571" s="21">
        <f t="shared" si="151"/>
        <v>1</v>
      </c>
      <c r="M571" s="21">
        <f t="shared" si="152"/>
        <v>1</v>
      </c>
      <c r="N571" s="21">
        <f t="shared" si="153"/>
        <v>1</v>
      </c>
      <c r="O571" s="21">
        <f t="shared" si="154"/>
        <v>1</v>
      </c>
      <c r="P571" s="21">
        <f t="shared" si="155"/>
        <v>1</v>
      </c>
      <c r="Q571" s="21">
        <f t="shared" si="156"/>
        <v>1</v>
      </c>
      <c r="R571" s="21">
        <f t="shared" si="157"/>
        <v>1</v>
      </c>
      <c r="S571" s="21">
        <f t="shared" si="158"/>
        <v>1</v>
      </c>
      <c r="T571" s="21">
        <f t="shared" si="159"/>
        <v>1</v>
      </c>
      <c r="U571" s="21">
        <f t="shared" si="160"/>
        <v>1</v>
      </c>
      <c r="V571" s="21">
        <f t="shared" si="161"/>
        <v>1</v>
      </c>
    </row>
    <row r="572" spans="1:22" x14ac:dyDescent="0.25">
      <c r="A572">
        <f>Tabelle2!A588</f>
        <v>0</v>
      </c>
      <c r="B572">
        <f>Tabelle2!$N588+(B$11*Tabelle2!$O588)</f>
        <v>0</v>
      </c>
      <c r="C572">
        <f>Tabelle2!$N588+(C$11*Tabelle2!$O588)</f>
        <v>0</v>
      </c>
      <c r="D572">
        <f>Tabelle2!$N588+(D$11*Tabelle2!$O588)</f>
        <v>0</v>
      </c>
      <c r="E572" s="21">
        <f t="shared" si="144"/>
        <v>1</v>
      </c>
      <c r="F572" s="21">
        <f t="shared" si="145"/>
        <v>1</v>
      </c>
      <c r="G572" s="21">
        <f t="shared" si="146"/>
        <v>1</v>
      </c>
      <c r="H572" s="21">
        <f t="shared" si="147"/>
        <v>1</v>
      </c>
      <c r="I572" s="21">
        <f t="shared" si="148"/>
        <v>1</v>
      </c>
      <c r="J572" s="21">
        <f t="shared" si="149"/>
        <v>1</v>
      </c>
      <c r="K572" s="21">
        <f t="shared" si="150"/>
        <v>1</v>
      </c>
      <c r="L572" s="21">
        <f t="shared" si="151"/>
        <v>1</v>
      </c>
      <c r="M572" s="21">
        <f t="shared" si="152"/>
        <v>1</v>
      </c>
      <c r="N572" s="21">
        <f t="shared" si="153"/>
        <v>1</v>
      </c>
      <c r="O572" s="21">
        <f t="shared" si="154"/>
        <v>1</v>
      </c>
      <c r="P572" s="21">
        <f t="shared" si="155"/>
        <v>1</v>
      </c>
      <c r="Q572" s="21">
        <f t="shared" si="156"/>
        <v>1</v>
      </c>
      <c r="R572" s="21">
        <f t="shared" si="157"/>
        <v>1</v>
      </c>
      <c r="S572" s="21">
        <f t="shared" si="158"/>
        <v>1</v>
      </c>
      <c r="T572" s="21">
        <f t="shared" si="159"/>
        <v>1</v>
      </c>
      <c r="U572" s="21">
        <f t="shared" si="160"/>
        <v>1</v>
      </c>
      <c r="V572" s="21">
        <f t="shared" si="161"/>
        <v>1</v>
      </c>
    </row>
    <row r="573" spans="1:22" x14ac:dyDescent="0.25">
      <c r="A573">
        <f>Tabelle2!A589</f>
        <v>0</v>
      </c>
      <c r="B573">
        <f>Tabelle2!$N589+(B$11*Tabelle2!$O589)</f>
        <v>0</v>
      </c>
      <c r="C573">
        <f>Tabelle2!$N589+(C$11*Tabelle2!$O589)</f>
        <v>0</v>
      </c>
      <c r="D573">
        <f>Tabelle2!$N589+(D$11*Tabelle2!$O589)</f>
        <v>0</v>
      </c>
      <c r="E573" s="21">
        <f t="shared" si="144"/>
        <v>1</v>
      </c>
      <c r="F573" s="21">
        <f t="shared" si="145"/>
        <v>1</v>
      </c>
      <c r="G573" s="21">
        <f t="shared" si="146"/>
        <v>1</v>
      </c>
      <c r="H573" s="21">
        <f t="shared" si="147"/>
        <v>1</v>
      </c>
      <c r="I573" s="21">
        <f t="shared" si="148"/>
        <v>1</v>
      </c>
      <c r="J573" s="21">
        <f t="shared" si="149"/>
        <v>1</v>
      </c>
      <c r="K573" s="21">
        <f t="shared" si="150"/>
        <v>1</v>
      </c>
      <c r="L573" s="21">
        <f t="shared" si="151"/>
        <v>1</v>
      </c>
      <c r="M573" s="21">
        <f t="shared" si="152"/>
        <v>1</v>
      </c>
      <c r="N573" s="21">
        <f t="shared" si="153"/>
        <v>1</v>
      </c>
      <c r="O573" s="21">
        <f t="shared" si="154"/>
        <v>1</v>
      </c>
      <c r="P573" s="21">
        <f t="shared" si="155"/>
        <v>1</v>
      </c>
      <c r="Q573" s="21">
        <f t="shared" si="156"/>
        <v>1</v>
      </c>
      <c r="R573" s="21">
        <f t="shared" si="157"/>
        <v>1</v>
      </c>
      <c r="S573" s="21">
        <f t="shared" si="158"/>
        <v>1</v>
      </c>
      <c r="T573" s="21">
        <f t="shared" si="159"/>
        <v>1</v>
      </c>
      <c r="U573" s="21">
        <f t="shared" si="160"/>
        <v>1</v>
      </c>
      <c r="V573" s="21">
        <f t="shared" si="161"/>
        <v>1</v>
      </c>
    </row>
    <row r="574" spans="1:22" x14ac:dyDescent="0.25">
      <c r="A574">
        <f>Tabelle2!A590</f>
        <v>0</v>
      </c>
      <c r="B574">
        <f>Tabelle2!$N590+(B$11*Tabelle2!$O590)</f>
        <v>0</v>
      </c>
      <c r="C574">
        <f>Tabelle2!$N590+(C$11*Tabelle2!$O590)</f>
        <v>0</v>
      </c>
      <c r="D574">
        <f>Tabelle2!$N590+(D$11*Tabelle2!$O590)</f>
        <v>0</v>
      </c>
      <c r="E574" s="21">
        <f t="shared" si="144"/>
        <v>1</v>
      </c>
      <c r="F574" s="21">
        <f t="shared" si="145"/>
        <v>1</v>
      </c>
      <c r="G574" s="21">
        <f t="shared" si="146"/>
        <v>1</v>
      </c>
      <c r="H574" s="21">
        <f t="shared" si="147"/>
        <v>1</v>
      </c>
      <c r="I574" s="21">
        <f t="shared" si="148"/>
        <v>1</v>
      </c>
      <c r="J574" s="21">
        <f t="shared" si="149"/>
        <v>1</v>
      </c>
      <c r="K574" s="21">
        <f t="shared" si="150"/>
        <v>1</v>
      </c>
      <c r="L574" s="21">
        <f t="shared" si="151"/>
        <v>1</v>
      </c>
      <c r="M574" s="21">
        <f t="shared" si="152"/>
        <v>1</v>
      </c>
      <c r="N574" s="21">
        <f t="shared" si="153"/>
        <v>1</v>
      </c>
      <c r="O574" s="21">
        <f t="shared" si="154"/>
        <v>1</v>
      </c>
      <c r="P574" s="21">
        <f t="shared" si="155"/>
        <v>1</v>
      </c>
      <c r="Q574" s="21">
        <f t="shared" si="156"/>
        <v>1</v>
      </c>
      <c r="R574" s="21">
        <f t="shared" si="157"/>
        <v>1</v>
      </c>
      <c r="S574" s="21">
        <f t="shared" si="158"/>
        <v>1</v>
      </c>
      <c r="T574" s="21">
        <f t="shared" si="159"/>
        <v>1</v>
      </c>
      <c r="U574" s="21">
        <f t="shared" si="160"/>
        <v>1</v>
      </c>
      <c r="V574" s="21">
        <f t="shared" si="161"/>
        <v>1</v>
      </c>
    </row>
  </sheetData>
  <autoFilter ref="A11:V11" xr:uid="{4867259D-450A-424E-B353-6CBD6AA12204}"/>
  <mergeCells count="6">
    <mergeCell ref="T10:V10"/>
    <mergeCell ref="E10:G10"/>
    <mergeCell ref="H10:J10"/>
    <mergeCell ref="K10:M10"/>
    <mergeCell ref="N10:P10"/>
    <mergeCell ref="Q10:S10"/>
  </mergeCells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8251A1-41DE-4BBD-9EAC-04672BA41CC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wikily_maps</vt:lpstr>
      <vt:lpstr>Tabelle2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Henning Arndt</dc:creator>
  <cp:lastModifiedBy>Henning Arndt</cp:lastModifiedBy>
  <dcterms:created xsi:type="dcterms:W3CDTF">2025-11-01T16:12:04Z</dcterms:created>
  <dcterms:modified xsi:type="dcterms:W3CDTF">2025-12-02T21:40:40Z</dcterms:modified>
</cp:coreProperties>
</file>